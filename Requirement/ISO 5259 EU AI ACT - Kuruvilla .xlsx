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 1 ISOIEC 5259" sheetId="1" r:id="rId4"/>
    <sheet state="visible" name="Part 2 ISOIEC 5259" sheetId="2" r:id="rId5"/>
    <sheet state="visible" name="Part 3 of ISOIEC 5259" sheetId="3" r:id="rId6"/>
    <sheet state="visible" name="Part 4 of ISOIEC 5259" sheetId="4" r:id="rId7"/>
    <sheet state="visible" name="Part 5 of ISOIEC 5259" sheetId="5" r:id="rId8"/>
    <sheet state="visible" name="ISO 5259 Requirements-V0.3" sheetId="6" r:id="rId9"/>
    <sheet state="visible" name="ISO 5259 Requirements-V0.4" sheetId="7" r:id="rId10"/>
    <sheet state="visible" name="Requirements-V0.3" sheetId="8" r:id="rId11"/>
    <sheet state="visible" name="properties" sheetId="9" r:id="rId12"/>
    <sheet state="visible" name="Lexical_Entries" sheetId="10" r:id="rId13"/>
    <sheet state="visible" name="AIA- Data Governance" sheetId="11" r:id="rId14"/>
    <sheet state="visible" name="AiaDefinitions - Data Governanc" sheetId="12" r:id="rId15"/>
    <sheet state="visible" name="AiaProviderReq - Data Goverance" sheetId="13" r:id="rId16"/>
    <sheet state="visible" name="GDPR"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The subject is constrained by the object. For example, a functional requirement is constrained by a safety requirement.</t>
      </text>
    </comment>
    <comment authorId="0" ref="G6">
      <text>
        <t xml:space="preserve">The subject is decomposed by the object. For example, a system requirement is decomposed into a collection of system requirements.</t>
      </text>
    </comment>
    <comment authorId="0" ref="I6">
      <text>
        <t xml:space="preserve">The subject is affected by the object, such as a defect or issue.</t>
      </text>
    </comment>
    <comment authorId="0" ref="J6">
      <text>
        <t xml:space="preserve">Resource, such as a change request, which implements this requirement.</t>
      </text>
    </comment>
    <comment authorId="0" ref="K6">
      <text>
        <t xml:space="preserve">Resource, such as a change request, which tracks this requirement</t>
      </text>
    </comment>
    <comment authorId="0" ref="L6">
      <text>
        <t xml:space="preserve">Resource, such as a test case, which validates this requirement.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The subject is constrained by the object. For example, a functional requirement is constrained by a safety requirement.</t>
      </text>
    </comment>
    <comment authorId="0" ref="G6">
      <text>
        <t xml:space="preserve">The subject is decomposed by the object. For example, a system requirement is decomposed into a collection of system requirements.</t>
      </text>
    </comment>
    <comment authorId="0" ref="I6">
      <text>
        <t xml:space="preserve">The subject is affected by the object, such as a defect or issue.</t>
      </text>
    </comment>
    <comment authorId="0" ref="J6">
      <text>
        <t xml:space="preserve">Resource, such as a change request, which implements this requirement.</t>
      </text>
    </comment>
    <comment authorId="0" ref="K6">
      <text>
        <t xml:space="preserve">Resource, such as a change request, which tracks this requirement</t>
      </text>
    </comment>
    <comment authorId="0" ref="L6">
      <text>
        <t xml:space="preserve">Resource, such as a test case, which validates this requirement.</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
      <text>
        <t xml:space="preserve">The subject is constrained by the object. For example, a functional requirement is constrained by a safety requirement.</t>
      </text>
    </comment>
    <comment authorId="0" ref="G6">
      <text>
        <t xml:space="preserve">The subject is decomposed by the object. For example, a system requirement is decomposed into a collection of system requirements.</t>
      </text>
    </comment>
    <comment authorId="0" ref="I6">
      <text>
        <t xml:space="preserve">The subject is affected by the object, such as a defect or issue.</t>
      </text>
    </comment>
    <comment authorId="0" ref="J6">
      <text>
        <t xml:space="preserve">Resource, such as a change request, which implements this requirement.</t>
      </text>
    </comment>
    <comment authorId="0" ref="K6">
      <text>
        <t xml:space="preserve">Resource, such as a change request, which tracks this requirement</t>
      </text>
    </comment>
    <comment authorId="0" ref="L6">
      <text>
        <t xml:space="preserve">Resource, such as a test case, which validates this requirement.</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
      <text>
        <t xml:space="preserve">The object resource can be identified with either a URI or a blank node.</t>
      </text>
    </comment>
    <comment authorId="0" ref="C3">
      <text>
        <t xml:space="preserve">The object resource can be identified with either a URI or a blank node.</t>
      </text>
    </comment>
    <comment authorId="0" ref="C4">
      <text>
        <t xml:space="preserve">The object resource can be identified with either a URI or a blank node.</t>
      </text>
    </comment>
    <comment authorId="0" ref="C5">
      <text>
        <t xml:space="preserve">The object resource can be identified with either a URI or a blank node.</t>
      </text>
    </comment>
    <comment authorId="0" ref="C6">
      <text>
        <t xml:space="preserve">The object resource can be identified with either a URI or a blank node.</t>
      </text>
    </comment>
    <comment authorId="0" ref="C7">
      <text>
        <t xml:space="preserve">The object resource can be identified with either a URI or a blank node.</t>
      </text>
    </comment>
    <comment authorId="0" ref="C8">
      <text>
        <t xml:space="preserve">The object resource can be identified with either a URI or a blank node.</t>
      </text>
    </comment>
    <comment authorId="0" ref="C9">
      <text>
        <t xml:space="preserve">The object resource can be identified with either a URI or a blank node.</t>
      </text>
    </comment>
    <comment authorId="0" ref="A10">
      <text>
        <t xml:space="preserve">Relationship between requirements from different documents, e.g., ISO, ISO/IEC ...
For example, a requirment in AI Act is satisfiedBy a requirement in the SC 42 or vice versa</t>
      </text>
    </comment>
    <comment authorId="0" ref="B10">
      <text>
        <t xml:space="preserve">Si se realiza el requerimiento B, este contempla al requerimiento A</t>
      </text>
    </comment>
    <comment authorId="0" ref="C10">
      <text>
        <t xml:space="preserve">The object resource can be identified with either a URI or a blank node.</t>
      </text>
    </comment>
    <comment authorId="0" ref="C11">
      <text>
        <t xml:space="preserve">The object resource can be identified with either a URI or a blank node.</t>
      </text>
    </comment>
    <comment authorId="0" ref="C12">
      <text>
        <t xml:space="preserve">The object resource can be identified with either a URI or a blank node.</t>
      </text>
    </comment>
    <comment authorId="0" ref="C13">
      <text>
        <t xml:space="preserve">The object resource can be identified with either a URI or a blank node.</t>
      </text>
    </comment>
    <comment authorId="0" ref="C14">
      <text>
        <t xml:space="preserve">The object resource can be identified with either a URI or a blank node.</t>
      </text>
    </comment>
    <comment authorId="0" ref="C15">
      <text>
        <t xml:space="preserve">The object resource can be identified with either a URI or a blank node.</t>
      </text>
    </comment>
    <comment authorId="0" ref="C16">
      <text>
        <t xml:space="preserve">The object resource can be identified with either a URI or a blank node.</t>
      </text>
    </comment>
  </commentList>
</comments>
</file>

<file path=xl/sharedStrings.xml><?xml version="1.0" encoding="utf-8"?>
<sst xmlns="http://schemas.openxmlformats.org/spreadsheetml/2006/main" count="3220" uniqueCount="1457">
  <si>
    <t>dcterms:</t>
  </si>
  <si>
    <t>this</t>
  </si>
  <si>
    <t>rdf:type</t>
  </si>
  <si>
    <t>skos:ConceptScheme</t>
  </si>
  <si>
    <t>prov:derivedFrom</t>
  </si>
  <si>
    <t>ISO/IEC DIS 5259</t>
  </si>
  <si>
    <t>skos:Collection</t>
  </si>
  <si>
    <t>skos:member</t>
  </si>
  <si>
    <t>ArtficialIntelligenceCollection</t>
  </si>
  <si>
    <t>Agent, AiEngineeredSystem, AiDisipline, AiSystem, Autonomy, ApplicationSpecificIntegratedCircuit, Automatic, BayesianNetwork, CognitiveComputing, ContinuousLearning, ComputerVision, Connectionism, Controllability, DataMining, DecisionTree, ExpertSystem, GeneralAiSystem, GeneticAlgorithm, Heteronomy, HumanMachineLearning, MachineLearningHyperparameter, Inference, InternetOfThings, IotDevice, LifeCycle, Model, NarrowAiSystem, MachineLearningParameter, Performance, AiPlanning, Robot, Robotics, SemanticComputing, SoftComputing, SymbolicAiSystem, SubsymbolicAi, Task</t>
  </si>
  <si>
    <t>MachineLearningCollection</t>
  </si>
  <si>
    <t>DataAnnotation, DataQualityChecking, DataAugmentation, DataSampling, Dataset, GroundTruth, Imputation, MachineLearningLabel, MachineLearning, MachineLearningAlgorithm, MachineLearningModel, MachineLearningPrediction, ReinforcementLearning, Retraining, Sample, SemiSupervisedMachineLearning, SupervisedMachineLearning, SupportVectorMachine, TestData, TrainedModel, Training, TrainingData, UnsupervisedMachineLearning, ValidationData</t>
  </si>
  <si>
    <t>NeuralNetworksCollection</t>
  </si>
  <si>
    <t>ConvolutionalNeuralNetwork, Convolutional, DeepLearning, ExplodingGradient, FeedForwardNeuralNetwork, LongShortTermMemory, NeuralNetwork, AiNeuron, RecurrentNeuralNetwork</t>
  </si>
  <si>
    <t>TrustworthinessCollection</t>
  </si>
  <si>
    <t>Accountable, Accountability, Availability, Bias, Control, Explainability, Predictability, Reliability, Resilience, Risk, Robustness, Safety, Stakeholder, OrganizationalTransparency, SystemTransparency, Trustworthiness, Verification, Validation</t>
  </si>
  <si>
    <t>NaturalLanguageProcessingCollection</t>
  </si>
  <si>
    <t>AutomaticSummarization, DialogueManagement, EmotionRecognition, InformationRetrieval, MachineTranslation, NamedEntityRecognition, NaturalLanguage, NaturalLanguageGeneration, NaturalLanguageProcessingSystem, NaturalLanguageProcessingDiscipline, NaturalLanguageUnderstanding, OpticalCharacterRecognition, PartOfSpeechTagging, QuestionAnswering, RelationshipExtraction, SentimentAnalysis, SpeechRecognition, SpeechSynthesis</t>
  </si>
  <si>
    <t>* rdf:type skos:Concept</t>
  </si>
  <si>
    <t>dct:source "ISO/IEC DIS5259, *"</t>
  </si>
  <si>
    <t>skos:prefLabel "*"@en</t>
  </si>
  <si>
    <t>skos:altLabel</t>
  </si>
  <si>
    <t>skos:definition "*"@en</t>
  </si>
  <si>
    <t>skos:broader</t>
  </si>
  <si>
    <t>skos:related</t>
  </si>
  <si>
    <t>skos:scopeNote</t>
  </si>
  <si>
    <t>dct:source</t>
  </si>
  <si>
    <t>dct:isVersionOf</t>
  </si>
  <si>
    <t>skos:changeNote</t>
  </si>
  <si>
    <t>DataLifeCycle</t>
  </si>
  <si>
    <t>data life cycle</t>
  </si>
  <si>
    <t>DataHolder</t>
  </si>
  <si>
    <t>data holder</t>
  </si>
  <si>
    <t>DataUser</t>
  </si>
  <si>
    <t>data user</t>
  </si>
  <si>
    <t>DataQuality</t>
  </si>
  <si>
    <t>data quality</t>
  </si>
  <si>
    <t>characteristic of data that the data meet the organization's data requirements for a specified context</t>
  </si>
  <si>
    <t>DataQualityCharacteristic</t>
  </si>
  <si>
    <t>data quality characteristic</t>
  </si>
  <si>
    <t>DataQualityModel</t>
  </si>
  <si>
    <t>data quality model</t>
  </si>
  <si>
    <t>DataQualityMeasure</t>
  </si>
  <si>
    <t>data quality measure</t>
  </si>
  <si>
    <t>Measurement</t>
  </si>
  <si>
    <t>measurement</t>
  </si>
  <si>
    <t>MeasurementMethod</t>
  </si>
  <si>
    <t>measurement method</t>
  </si>
  <si>
    <t>QualityRequirement</t>
  </si>
  <si>
    <t>quality requirement</t>
  </si>
  <si>
    <t>Attribute</t>
  </si>
  <si>
    <t>attribute</t>
  </si>
  <si>
    <t>Scale</t>
  </si>
  <si>
    <t>scale</t>
  </si>
  <si>
    <t>Analytics</t>
  </si>
  <si>
    <t>analytics</t>
  </si>
  <si>
    <t>Big Data</t>
  </si>
  <si>
    <t>big data</t>
  </si>
  <si>
    <t>Feature</t>
  </si>
  <si>
    <t>feature</t>
  </si>
  <si>
    <t>DataQualityManagement</t>
  </si>
  <si>
    <t>data quality management</t>
  </si>
  <si>
    <t>DataGovernance</t>
  </si>
  <si>
    <t>data governance</t>
  </si>
  <si>
    <t>DataProvenance</t>
  </si>
  <si>
    <t>data provenance</t>
  </si>
  <si>
    <t>Visualization</t>
  </si>
  <si>
    <t>visualization</t>
  </si>
  <si>
    <t>empty Data Item</t>
  </si>
  <si>
    <t>dct:source "ISO/IEC DIS5259 part 1, *"</t>
  </si>
  <si>
    <t>DataItem</t>
  </si>
  <si>
    <t>data item</t>
  </si>
  <si>
    <t>DataType</t>
  </si>
  <si>
    <t>data type</t>
  </si>
  <si>
    <t>DataValue</t>
  </si>
  <si>
    <t>data value</t>
  </si>
  <si>
    <t>DataRecord</t>
  </si>
  <si>
    <t>data record</t>
  </si>
  <si>
    <t>DataFrame</t>
  </si>
  <si>
    <t>data frame</t>
  </si>
  <si>
    <t>DataQualityRequirement</t>
  </si>
  <si>
    <t>data quality requirement</t>
  </si>
  <si>
    <t>Cluster</t>
  </si>
  <si>
    <t>cluster</t>
  </si>
  <si>
    <t>Empty Data Item</t>
  </si>
  <si>
    <t>empty data item</t>
  </si>
  <si>
    <t>Measure</t>
  </si>
  <si>
    <t>measure</t>
  </si>
  <si>
    <t>Measured Value</t>
  </si>
  <si>
    <t>measured value</t>
  </si>
  <si>
    <t>Measurement Function</t>
  </si>
  <si>
    <t>measurement function</t>
  </si>
  <si>
    <t>Overfitting</t>
  </si>
  <si>
    <t>overfitting</t>
  </si>
  <si>
    <t>RawData</t>
  </si>
  <si>
    <t>raw data</t>
  </si>
  <si>
    <t>TargetData</t>
  </si>
  <si>
    <t>target data</t>
  </si>
  <si>
    <t>DataQualityClaim</t>
  </si>
  <si>
    <t>data quality claim</t>
  </si>
  <si>
    <t>MachineLearningProject</t>
  </si>
  <si>
    <t>machine learning project</t>
  </si>
  <si>
    <t>metadata</t>
  </si>
  <si>
    <t>Outsourcing</t>
  </si>
  <si>
    <t>outsourcing</t>
  </si>
  <si>
    <t>Stand-offAnnotation</t>
  </si>
  <si>
    <t>stand-off annotation</t>
  </si>
  <si>
    <t>CloudService</t>
  </si>
  <si>
    <t>cloud service</t>
  </si>
  <si>
    <t>DataOriginator</t>
  </si>
  <si>
    <t>data originator</t>
  </si>
  <si>
    <t>DataCreator</t>
  </si>
  <si>
    <t>data creator</t>
  </si>
  <si>
    <t>DataOwner</t>
  </si>
  <si>
    <t>data owner</t>
  </si>
  <si>
    <t>DataSteward</t>
  </si>
  <si>
    <t>data steward</t>
  </si>
  <si>
    <t>Direct</t>
  </si>
  <si>
    <t>direct</t>
  </si>
  <si>
    <t>ExecutiveManager</t>
  </si>
  <si>
    <t>executive manager</t>
  </si>
  <si>
    <t>Governance</t>
  </si>
  <si>
    <t>governance</t>
  </si>
  <si>
    <t>GoverningBody</t>
  </si>
  <si>
    <t>governing body</t>
  </si>
  <si>
    <t>Monitor</t>
  </si>
  <si>
    <t>monitor</t>
  </si>
  <si>
    <t>Principle</t>
  </si>
  <si>
    <t>principle</t>
  </si>
  <si>
    <t>Strategy</t>
  </si>
  <si>
    <t>strategy</t>
  </si>
  <si>
    <t>ManagementLayer</t>
  </si>
  <si>
    <t>management layer</t>
  </si>
  <si>
    <t>OperationalLayer</t>
  </si>
  <si>
    <t>operational layer</t>
  </si>
  <si>
    <t>Requirement</t>
  </si>
  <si>
    <t>rdf:Type</t>
  </si>
  <si>
    <t>rm:RequirementCollection</t>
  </si>
  <si>
    <t>dct:conformsTo</t>
  </si>
  <si>
    <t>ISO-IEC 5259</t>
  </si>
  <si>
    <t>rm:specifiedBy</t>
  </si>
  <si>
    <t>https://www.iso.org/isoiec-27001-information-security.html</t>
  </si>
  <si>
    <t>rm:elaboratedBy</t>
  </si>
  <si>
    <t>ISO/IEC JTC 1/SC 27 Information security, cybersecurity and privacy protection</t>
  </si>
  <si>
    <t>* rdf:type oslc_rm:RequirementCollection</t>
  </si>
  <si>
    <t>rdf:type oslc_rm:Requirement</t>
  </si>
  <si>
    <t>skos:prefLabel</t>
  </si>
  <si>
    <t>skos:definition</t>
  </si>
  <si>
    <t>rm:affectedBy</t>
  </si>
  <si>
    <t>rm:constrainedBy</t>
  </si>
  <si>
    <t>rm:decomposedBy</t>
  </si>
  <si>
    <t>rn:implementedBy</t>
  </si>
  <si>
    <t>rm:implementedBy</t>
  </si>
  <si>
    <t>rm:trackedBy</t>
  </si>
  <si>
    <t>rm:validatedBy</t>
  </si>
  <si>
    <t>rm:satisfiedBy</t>
  </si>
  <si>
    <t>rm:uses</t>
  </si>
  <si>
    <t>tair:hasLexicalEntry</t>
  </si>
  <si>
    <t>ontolex:sense</t>
  </si>
  <si>
    <t>ontolex:denotes, ontolex:reference</t>
  </si>
  <si>
    <t>* rdf:type rm:RequirementCollection</t>
  </si>
  <si>
    <t>skos:prefLabel
"*"@en</t>
  </si>
  <si>
    <t>skos:altLabel "*"@en</t>
  </si>
  <si>
    <t>tair:decomposes</t>
  </si>
  <si>
    <t>QualityReport</t>
  </si>
  <si>
    <t xml:space="preserve">Quality Report Requirements </t>
  </si>
  <si>
    <t>QualityCulture</t>
  </si>
  <si>
    <t>Understanding the needs and expectations of interested parties</t>
  </si>
  <si>
    <t>ContextOfOrganizationReqColl</t>
  </si>
  <si>
    <t>DataQualityAnomalies</t>
  </si>
  <si>
    <t>Determining the scope of the XXX management system</t>
  </si>
  <si>
    <t>CompetenceManagement</t>
  </si>
  <si>
    <t>Leadership</t>
  </si>
  <si>
    <t>ResourceManagement</t>
  </si>
  <si>
    <t>Planning</t>
  </si>
  <si>
    <t>DataQualityAuditandAssessment</t>
  </si>
  <si>
    <t>Support</t>
  </si>
  <si>
    <t>Project-specificDataQualityManagement</t>
  </si>
  <si>
    <t>Operation</t>
  </si>
  <si>
    <t>DataQualityManagementLifeCycle</t>
  </si>
  <si>
    <t>Performance evaluation</t>
  </si>
  <si>
    <t>DataMotivationandConceptualization</t>
  </si>
  <si>
    <t>Improvement</t>
  </si>
  <si>
    <t>Stakeholder</t>
  </si>
  <si>
    <t>DataSpecification</t>
  </si>
  <si>
    <t>DataFormat</t>
  </si>
  <si>
    <t>StatisticalProperties</t>
  </si>
  <si>
    <t>DataInteroperability</t>
  </si>
  <si>
    <t>Supporting Resources and Tools</t>
  </si>
  <si>
    <t>* rdf:type tair:Requirement</t>
  </si>
  <si>
    <t>tair:affectedBy</t>
  </si>
  <si>
    <t>tair:uses</t>
  </si>
  <si>
    <t>tair:constrainedBy</t>
  </si>
  <si>
    <t>tair:implementedBy</t>
  </si>
  <si>
    <t>tair:satisfiedBy</t>
  </si>
  <si>
    <t>tair:trackedby</t>
  </si>
  <si>
    <t>tair:validatedby</t>
  </si>
  <si>
    <t>tair:elaboratedBy</t>
  </si>
  <si>
    <t>MssReq_4_1</t>
  </si>
  <si>
    <t>Understanding the organization and its context</t>
  </si>
  <si>
    <t>The organization shall determine external and internal issues that are relevant to its purpose and that affect its ability to achieve the intended result(s) of its XXX management system.</t>
  </si>
  <si>
    <t>internalssues, externalIssues</t>
  </si>
  <si>
    <t>mssConcepts:Organization</t>
  </si>
  <si>
    <t>MssReq_4_4</t>
  </si>
  <si>
    <t>XXX management system</t>
  </si>
  <si>
    <t>The organization shall establish, implement, maintain and continually improve an XXX management system, including the processes needed and their interactions, in accordance with the requirements of this document.</t>
  </si>
  <si>
    <t>* rdf:type tair:ConjuntiveRequirement</t>
  </si>
  <si>
    <t>MssReq_4_2a</t>
  </si>
  <si>
    <t>Understanding the needs and expectations of interested parties - a</t>
  </si>
  <si>
    <t>[The organization shall determine] the interested parties that are relevant to the XXX management system</t>
  </si>
  <si>
    <t>UnderstandingNeedsAndExpactationsReqColl</t>
  </si>
  <si>
    <t>mssConcepts:interestedParties</t>
  </si>
  <si>
    <t>MssReq_4_2b</t>
  </si>
  <si>
    <t>Understanding the needs and expectations of interested parties - b</t>
  </si>
  <si>
    <t>The organization shall determine the relevant requirements of these interested parties</t>
  </si>
  <si>
    <t>mssConcepts:Requirement</t>
  </si>
  <si>
    <t>MssReq_4_2c</t>
  </si>
  <si>
    <t>Understanding the needs and expectations of interested parties - c</t>
  </si>
  <si>
    <t>The organization shall determine which of these requirements will be addressed through the XXX management system</t>
  </si>
  <si>
    <t>MssReq_4_3a</t>
  </si>
  <si>
    <t>Determining the scope of the XXX management system - a</t>
  </si>
  <si>
    <t>The organization shall determine the boundaries and applicability of the XXX management system to establish its scope</t>
  </si>
  <si>
    <t>DetermineScopeofMSReqColl</t>
  </si>
  <si>
    <t>MssReq_4_3b</t>
  </si>
  <si>
    <t>Determining the scope of the XXX management system - b</t>
  </si>
  <si>
    <t>When determining this scope, the organization shall consider the external and internal issues referred to in 4.1</t>
  </si>
  <si>
    <t>MssReq_4_3c</t>
  </si>
  <si>
    <t>Determining the scope of the XXX management system - c</t>
  </si>
  <si>
    <t>When determining this scope, the organization shall consider the requirements referred to in 4.2</t>
  </si>
  <si>
    <t>UnderstandingNeedsAndExpactationsRColl</t>
  </si>
  <si>
    <t>MssReq_4_3d</t>
  </si>
  <si>
    <t>Determining the scope of the XXX management system - d</t>
  </si>
  <si>
    <t>The scope shall be available as documented information</t>
  </si>
  <si>
    <t>mssConcepts:documentedInformation</t>
  </si>
  <si>
    <t>ISO-IEC 27001</t>
  </si>
  <si>
    <t xml:space="preserve"> The organization shall sustain a quality culture by</t>
  </si>
  <si>
    <t>QualityReportRequirements</t>
  </si>
  <si>
    <t>DetermineScopeofMSRColl</t>
  </si>
  <si>
    <t>LeadershipRColl</t>
  </si>
  <si>
    <t>PlanningRColl</t>
  </si>
  <si>
    <t>SupportRColl</t>
  </si>
  <si>
    <t>OperationRColl</t>
  </si>
  <si>
    <t>PerformanceRColl</t>
  </si>
  <si>
    <t>ImprovementRColl</t>
  </si>
  <si>
    <t>oslc property</t>
  </si>
  <si>
    <t>description</t>
  </si>
  <si>
    <t>oslc:range</t>
  </si>
  <si>
    <t>subject rdf:type</t>
  </si>
  <si>
    <t>object rdf:type</t>
  </si>
  <si>
    <t>affectedBy</t>
  </si>
  <si>
    <t>The subject is affected by the object, such as a defect or issue.</t>
  </si>
  <si>
    <t>oslc:AnyResource</t>
  </si>
  <si>
    <t>oslc_rm:Requirement</t>
  </si>
  <si>
    <t>tair:Asset</t>
  </si>
  <si>
    <t>constrainedBy</t>
  </si>
  <si>
    <t>The subject is constrained by the object. For example, a functional requirement is constrained by a safety requirement.</t>
  </si>
  <si>
    <t>ISO/IEC/IEEE 3.1.7 Constraint - externally imposed limitation on the system, its design, or implementation or on the process used to develop or modify a system</t>
  </si>
  <si>
    <t>constrains</t>
  </si>
  <si>
    <t>The object is constrained by the subject.</t>
  </si>
  <si>
    <t>decomposedBy</t>
  </si>
  <si>
    <t>The subject is decomposed by the object. For example, a system requirement is decomposed into a collection of system requirements.</t>
  </si>
  <si>
    <t>oslc_rm:RequirementCollection</t>
  </si>
  <si>
    <t>decomposes</t>
  </si>
  <si>
    <t>The object is decomposed by the subject.</t>
  </si>
  <si>
    <t>elaboratedBy</t>
  </si>
  <si>
    <t>The subject is elaborated by the object. For example, a user requirement is elaborated by use case.</t>
  </si>
  <si>
    <t>tair:Activity</t>
  </si>
  <si>
    <t>elaborates</t>
  </si>
  <si>
    <t>The object is elaborated by the subject.</t>
  </si>
  <si>
    <t>implementedBy</t>
  </si>
  <si>
    <t>Resource, such as a change request, which implements this requirement.</t>
  </si>
  <si>
    <t>tair:Agent</t>
  </si>
  <si>
    <t>satisfiedBy</t>
  </si>
  <si>
    <t>The subject is satisfied by the object. For example, a user requirement is satisfied by a system requirement.</t>
  </si>
  <si>
    <t>satisfies</t>
  </si>
  <si>
    <t>The object is satisfied by the subject.</t>
  </si>
  <si>
    <t>specifiedBy</t>
  </si>
  <si>
    <t>The subject is specified by the object. For example, a requirement is elaborated by a model element.</t>
  </si>
  <si>
    <t>tair:ExhibitedCharacteristic</t>
  </si>
  <si>
    <t>specifies</t>
  </si>
  <si>
    <t>The object is specified by the subject.</t>
  </si>
  <si>
    <t>trackedBy</t>
  </si>
  <si>
    <t>Resource, such as a change request, which tracks this requirement.</t>
  </si>
  <si>
    <t>uses</t>
  </si>
  <si>
    <t>A collection uses a resource - the resource is in the requirement collection</t>
  </si>
  <si>
    <t>tair:ValueChainOrg</t>
  </si>
  <si>
    <t>validatedBy</t>
  </si>
  <si>
    <t>Resource, such as a test case, which validates this requirement.</t>
  </si>
  <si>
    <t>Resource</t>
  </si>
  <si>
    <t>Concept</t>
  </si>
  <si>
    <t>skos:narrower</t>
  </si>
  <si>
    <t>le_activities</t>
  </si>
  <si>
    <t>le_analysis</t>
  </si>
  <si>
    <t>le_boundaries</t>
  </si>
  <si>
    <t>le_change_in_external_issue</t>
  </si>
  <si>
    <t>le_change_in_internal_issue</t>
  </si>
  <si>
    <t>le_control_of_changes</t>
  </si>
  <si>
    <t>le_documented_information_identification_and_description</t>
  </si>
  <si>
    <t>le_evidence_of_competence</t>
  </si>
  <si>
    <t>le_external_communication</t>
  </si>
  <si>
    <t>le_external_issues</t>
  </si>
  <si>
    <t>le_external_origin</t>
  </si>
  <si>
    <t>le_external_process</t>
  </si>
  <si>
    <t>le_external_product</t>
  </si>
  <si>
    <t>le_external_service</t>
  </si>
  <si>
    <t>le_interested_party_requirements</t>
  </si>
  <si>
    <t>le_internal_audit</t>
  </si>
  <si>
    <t>le_internal_communication</t>
  </si>
  <si>
    <t>le_internal_issues</t>
  </si>
  <si>
    <t>le_management_review</t>
  </si>
  <si>
    <t>le_management_system_processes</t>
  </si>
  <si>
    <t>le_organization_business_process</t>
  </si>
  <si>
    <t>le_person_competencies</t>
  </si>
  <si>
    <t>le_preservation_of_legibility</t>
  </si>
  <si>
    <t>le_resources</t>
  </si>
  <si>
    <t>le_cultural</t>
  </si>
  <si>
    <t>le_social</t>
  </si>
  <si>
    <t>le_environmental</t>
  </si>
  <si>
    <t>le_political</t>
  </si>
  <si>
    <t>le_legal</t>
  </si>
  <si>
    <t>le_regulatory</t>
  </si>
  <si>
    <t>le_financial</t>
  </si>
  <si>
    <t>le_technological</t>
  </si>
  <si>
    <t>le_economic</t>
  </si>
  <si>
    <t>le_natural_and_competetive_factor</t>
  </si>
  <si>
    <t>le_whether_international</t>
  </si>
  <si>
    <t>le_national</t>
  </si>
  <si>
    <t>le_regional</t>
  </si>
  <si>
    <t>le_local</t>
  </si>
  <si>
    <t>le_organizational_identity</t>
  </si>
  <si>
    <t>le_governance</t>
  </si>
  <si>
    <t>le_structure</t>
  </si>
  <si>
    <t>le_resource</t>
  </si>
  <si>
    <t>le_capability</t>
  </si>
  <si>
    <t>le_people</t>
  </si>
  <si>
    <t>le_finance</t>
  </si>
  <si>
    <t>le_vision</t>
  </si>
  <si>
    <t>le_mission</t>
  </si>
  <si>
    <t>le_value</t>
  </si>
  <si>
    <t>le_culture</t>
  </si>
  <si>
    <t>le_regulator</t>
  </si>
  <si>
    <t>InterestedParty</t>
  </si>
  <si>
    <t>le_parent_organization</t>
  </si>
  <si>
    <t>le_subsidiary_organization</t>
  </si>
  <si>
    <t>le_customer</t>
  </si>
  <si>
    <t>le_association</t>
  </si>
  <si>
    <t>le_community_group</t>
  </si>
  <si>
    <t>le_non-governmental_organization</t>
  </si>
  <si>
    <t>le_supplier</t>
  </si>
  <si>
    <t>le_neighbour</t>
  </si>
  <si>
    <t>le_partner</t>
  </si>
  <si>
    <t>le_worker</t>
  </si>
  <si>
    <t>le_owner</t>
  </si>
  <si>
    <t>le_investor</t>
  </si>
  <si>
    <t>le_competitor</t>
  </si>
  <si>
    <t>le_academia</t>
  </si>
  <si>
    <t>le_researcher</t>
  </si>
  <si>
    <t>le_international</t>
  </si>
  <si>
    <t>le_trade</t>
  </si>
  <si>
    <t>le_professional</t>
  </si>
  <si>
    <t>le_representatives</t>
  </si>
  <si>
    <t>le_apprentice</t>
  </si>
  <si>
    <t>le_person_working_on_behalf_of_the_organization</t>
  </si>
  <si>
    <t>le_applicable_law</t>
  </si>
  <si>
    <t>le_authorization</t>
  </si>
  <si>
    <t>le_government_regulation</t>
  </si>
  <si>
    <t>le_judgement</t>
  </si>
  <si>
    <t>le_requirements_of_a_larger_entity_to_which_the_organization_belongs</t>
  </si>
  <si>
    <t>le_treaty</t>
  </si>
  <si>
    <t>le_convention</t>
  </si>
  <si>
    <t>le_protocol</t>
  </si>
  <si>
    <t>le_relevant_industry_code</t>
  </si>
  <si>
    <t>le_relevant_industry_standard</t>
  </si>
  <si>
    <t>le_contract</t>
  </si>
  <si>
    <t>le_agreement</t>
  </si>
  <si>
    <t>le_code_of_practice</t>
  </si>
  <si>
    <t>le_voluntary_principles</t>
  </si>
  <si>
    <t>le_voluntary_labeling</t>
  </si>
  <si>
    <t>le_environmental_commitments</t>
  </si>
  <si>
    <t>le_contractual_arragement</t>
  </si>
  <si>
    <t>le_permit</t>
  </si>
  <si>
    <t>le_license</t>
  </si>
  <si>
    <t>le_other</t>
  </si>
  <si>
    <t>le_judgement_of_courts</t>
  </si>
  <si>
    <t>le_judgement_of_administrative_tribunals</t>
  </si>
  <si>
    <t>le_public_authorities</t>
  </si>
  <si>
    <t>le_physical</t>
  </si>
  <si>
    <t>le_organizational</t>
  </si>
  <si>
    <t>le_appropiate_education</t>
  </si>
  <si>
    <t>le_training</t>
  </si>
  <si>
    <t>le_experience</t>
  </si>
  <si>
    <t>le_distribution</t>
  </si>
  <si>
    <t>le_access</t>
  </si>
  <si>
    <t>le_retrieval</t>
  </si>
  <si>
    <t>le_use</t>
  </si>
  <si>
    <t>le_storage</t>
  </si>
  <si>
    <t>le_preservation</t>
  </si>
  <si>
    <t>le_retention</t>
  </si>
  <si>
    <t>le_disposition</t>
  </si>
  <si>
    <t>le_identification_and_description</t>
  </si>
  <si>
    <t>DocumentedInformation</t>
  </si>
  <si>
    <t>le_format</t>
  </si>
  <si>
    <t>le_media</t>
  </si>
  <si>
    <t>le_protection</t>
  </si>
  <si>
    <t>le_title</t>
  </si>
  <si>
    <t>le_date</t>
  </si>
  <si>
    <t>le_author</t>
  </si>
  <si>
    <t>le_reference_number</t>
  </si>
  <si>
    <t>le_language</t>
  </si>
  <si>
    <t>le_software_version</t>
  </si>
  <si>
    <t>le_graphic</t>
  </si>
  <si>
    <t>le_paper</t>
  </si>
  <si>
    <t>le_electronic</t>
  </si>
  <si>
    <t>le_loss_of_confidentiality</t>
  </si>
  <si>
    <t>le_improper_use</t>
  </si>
  <si>
    <t>le_loss_of_integrity</t>
  </si>
  <si>
    <t>Act</t>
  </si>
  <si>
    <t>Title_no</t>
  </si>
  <si>
    <t>Title</t>
  </si>
  <si>
    <t>Title_Name</t>
  </si>
  <si>
    <t>Chapter_no</t>
  </si>
  <si>
    <t>Chapter</t>
  </si>
  <si>
    <t>Chapter_Name</t>
  </si>
  <si>
    <t>Article_no</t>
  </si>
  <si>
    <t>Article</t>
  </si>
  <si>
    <t>Article_Name</t>
  </si>
  <si>
    <t>Point_1_no</t>
  </si>
  <si>
    <t>Point_1</t>
  </si>
  <si>
    <t>Point_2_no</t>
  </si>
  <si>
    <t>Point_2</t>
  </si>
  <si>
    <t>Point_3_no</t>
  </si>
  <si>
    <t>Point_3</t>
  </si>
  <si>
    <t>Article_ID</t>
  </si>
  <si>
    <t>Recital_no</t>
  </si>
  <si>
    <t>Recital_Description</t>
  </si>
  <si>
    <t>Recital_ID</t>
  </si>
  <si>
    <t>Annex_no</t>
  </si>
  <si>
    <t>Annex</t>
  </si>
  <si>
    <t>Annex_refers_to</t>
  </si>
  <si>
    <t>Annex_sub_no</t>
  </si>
  <si>
    <t>Annex_sub_point</t>
  </si>
  <si>
    <t>Annex_sub_sub_no</t>
  </si>
  <si>
    <t>Annex_sub_sub_point</t>
  </si>
  <si>
    <t>Annex_sub_sub_sub_no</t>
  </si>
  <si>
    <t>Annex_sub_sub_sub_point</t>
  </si>
  <si>
    <t>Annex_ID</t>
  </si>
  <si>
    <t>ai</t>
  </si>
  <si>
    <t>TITLE I</t>
  </si>
  <si>
    <t>GENERAL PROVISIONS</t>
  </si>
  <si>
    <t>Chapter 1</t>
  </si>
  <si>
    <t>NoChapter</t>
  </si>
  <si>
    <t>Article 3</t>
  </si>
  <si>
    <t>Definitions</t>
  </si>
  <si>
    <t>For the purpose of this Regulation, the following definitions apply:</t>
  </si>
  <si>
    <t>training data' means data used for training an AI system through fitting its learnable parameters, including the weights of a neural network;</t>
  </si>
  <si>
    <t>"Article 3(1)(29)"</t>
  </si>
  <si>
    <t>validation data' means data used for providing an evaluation of the trained AI system and for tuning its non-learnable parameters and its learning process, among other things, in order to prevent overfitting; whereas the validation dataset can be a separate dataset or part of the training dataset, either as a fixed or variable split;</t>
  </si>
  <si>
    <t>"Article 3(1)(30)"</t>
  </si>
  <si>
    <t>testing data' means data used for providing an independent evaluation of the trained and validated AI system in order to confirm the expected performance of that system before its placing on the market or putting into service;</t>
  </si>
  <si>
    <t>"Article 3(1)(31)"</t>
  </si>
  <si>
    <t>input data' means data provided to or directly acquired by an AI system on the basis of which the system produces an output;</t>
  </si>
  <si>
    <t>"Article 3(1)(32)"</t>
  </si>
  <si>
    <t>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t>
  </si>
  <si>
    <t>"Article 3(1)(33)"</t>
  </si>
  <si>
    <t>emotion recognition system' means an AI system for the purpose of identifying or inferring emotions or intentions of natural persons on the basis of their biometric data;</t>
  </si>
  <si>
    <t>"Article 3(1)(34)"</t>
  </si>
  <si>
    <t>biometric categorisation system' means an AI system for the purpose of assigning natural persons to specific categories, such as sex, age, hair colour, eye colour, tattoos, ethnic origin or sexual or political orientation, on the basis of their biometric data;</t>
  </si>
  <si>
    <t>"Article 3(1)(35)"</t>
  </si>
  <si>
    <t>remote biometric identification system' means an AI system for the purpose of identifying natural persons at a distance through the comparison of a person's biometric data with the biometric data contained in a reference database, and without prior knowledge of the user of the AI system whether the person will be present and can be identified ;</t>
  </si>
  <si>
    <t>"Article 3(1)(36)"</t>
  </si>
  <si>
    <t>real-time' remote biometric identification system' means a remote biometric identification system whereby the capturing of biometric data, the comparison and the identification all occur without a significant delay. This comprises not only instant identification, but also limited short delays in order to avoid circumvention.</t>
  </si>
  <si>
    <t>"Article 3(1)(37)"</t>
  </si>
  <si>
    <t>TITLE 2</t>
  </si>
  <si>
    <t>PROHIBITED ARTIFICIAL INTELLIGENCE PRACTICES</t>
  </si>
  <si>
    <t>Article 5</t>
  </si>
  <si>
    <t>null</t>
  </si>
  <si>
    <t>The following artificial intelligence practices shall be prohibited:</t>
  </si>
  <si>
    <t>c</t>
  </si>
  <si>
    <t>the placing on the market, putting into service or use of AI systems by public authorities or on their behalf for the evaluation or classification of the trustworthiness of natural persons over a certain period of time based on their social behaviour or known or predicted personal or personality characteristics, with the social score leading to either or both of the following:</t>
  </si>
  <si>
    <t>i</t>
  </si>
  <si>
    <t>detrimental or unfavourable treatment of certain natural persons or whole groups thereof in social contexts which are unrelated to the contexts in which the data was originally generated or collected;</t>
  </si>
  <si>
    <t>"Article 5(1)(c)(i)"</t>
  </si>
  <si>
    <t>TITLE 3</t>
  </si>
  <si>
    <t>HIGH-RISK AI SYSTEMS</t>
  </si>
  <si>
    <t>Chapter 2</t>
  </si>
  <si>
    <t>requirements for high-risk Ai systems</t>
  </si>
  <si>
    <t>Article 9</t>
  </si>
  <si>
    <t>Risk management system</t>
  </si>
  <si>
    <t>The risk management system shall consist of a continuous iterative process run throughout the entire lifecycle of a high-risk AI system, requiring regular systematic updating. It shall comprise the following steps:</t>
  </si>
  <si>
    <t>evaluation of other possibly arising risks based on the analysis of data gathered from the post-market monitoring system referred to in Article 61;</t>
  </si>
  <si>
    <t>"Article 9(2)(c)"</t>
  </si>
  <si>
    <t>Article 10</t>
  </si>
  <si>
    <t>Data and data governance</t>
  </si>
  <si>
    <t>High-risk AI systems which make use of techniques involving the training of models with data shall be developed on the basis of training, validation and testing data sets that meet the quality criteria referred to in paragraphs 2 to 5.</t>
  </si>
  <si>
    <t>"Article 10(1)"</t>
  </si>
  <si>
    <t>Training, validation and testing data sets shall be subject to appropriate data governance and management practices. Those practices shall concern in particular,</t>
  </si>
  <si>
    <t>a</t>
  </si>
  <si>
    <t>the relevant design choices;</t>
  </si>
  <si>
    <t>"Article 10(2)(a)"</t>
  </si>
  <si>
    <t>b</t>
  </si>
  <si>
    <t>data collection;</t>
  </si>
  <si>
    <t>"Article 10(2)(b)"</t>
  </si>
  <si>
    <t>relevant data preparation processing operations, such as annotation, labelling, cleaning, enrichment and aggregation;</t>
  </si>
  <si>
    <t>"Article 10(2)(c)"</t>
  </si>
  <si>
    <t>d</t>
  </si>
  <si>
    <t>the formulation of relevant assumptions, notably with respect to the information that the data are supposed to measure and represent;</t>
  </si>
  <si>
    <t>"Article 10(2)(d)"</t>
  </si>
  <si>
    <t>e</t>
  </si>
  <si>
    <t>a prior assessment of the availability, quantity and suitability of the data sets that are needed;</t>
  </si>
  <si>
    <t>"Article 10(2)(e)"</t>
  </si>
  <si>
    <t>f</t>
  </si>
  <si>
    <t>examination in view of possible biases;</t>
  </si>
  <si>
    <t>"Article 10(2)(f)"</t>
  </si>
  <si>
    <t>g</t>
  </si>
  <si>
    <t>the identification of any possible data gaps or shortcomings, and how those gaps and shortcomings can be addressed.</t>
  </si>
  <si>
    <t>"Article 10(2)(g)"</t>
  </si>
  <si>
    <t>Training, validation and testing data sets shall be relevant, representative, free of errors and complete. They shall have the appropriate statistical properties, including, where applicable, as regards the persons or groups of persons on which the high-risk AI system is intended to be used. These characteristics of the data sets may be met at the level of individual data sets or a combination thereof.</t>
  </si>
  <si>
    <t>"Article 10(3)"</t>
  </si>
  <si>
    <t>Training, validation and testing data sets shall take into account, to the extent required by the intended purpose, the characteristics or elements that are particular to the specific geographical, behavioural or functional setting within which the high-risk AI system is intended to be used.</t>
  </si>
  <si>
    <t>"Article 10(4)"</t>
  </si>
  <si>
    <t>To the extent that it is strictly necessary for the purposes of ensuring bias monitoring, detection and correction in relation to the high-risk AI systems, the providers of such systems may process special categories of personal data&amp;nbsp;referred to in Article 9(1) of Regulation (EU) 2016/679, Article 10 of Directive (EU) 2016/680 and Article 10(1) of Regulation (EU) 2018/1725, subject to appropriate safeguards for the fundamental rights and freedoms of natural persons, including technical limitations on the re-use and use of state-of-the-art security and privacy-preserving measures, such as pseudonymisation, or encryption where anonymisation may significantly affect the purpose pursued.</t>
  </si>
  <si>
    <t>"Article 10(5)"</t>
  </si>
  <si>
    <t>Appropriate data governance and management practices shall apply for the development of high-risk AI systems other than those which make use of techniques involving the training of models in order to ensure that those high-risk AI systems comply with paragraph 2.</t>
  </si>
  <si>
    <t>"Article 10(6)"</t>
  </si>
  <si>
    <t>Article 12</t>
  </si>
  <si>
    <t>Record-keeping</t>
  </si>
  <si>
    <t>For high-risk AI systems referred to in paragraph 1, point (a) of Annex III, the logging capabilities shall provide, at a minimum:</t>
  </si>
  <si>
    <t>the reference database against which input data has been checked by the system;</t>
  </si>
  <si>
    <t>"Article 12(4)(b)"</t>
  </si>
  <si>
    <t>the input data for which the search has led to a match;</t>
  </si>
  <si>
    <t>"Article 12(4)(c)"</t>
  </si>
  <si>
    <t>Article 15</t>
  </si>
  <si>
    <t>Accuracy, robustness and cybersecurity</t>
  </si>
  <si>
    <t>High-risk AI systems shall be resilient as regards attempts by unauthorised third parties to alter their use or performance by exploiting the system vulnerabilities. The technical solutions aimed at ensuring the cybersecurity of high-risk AI systems shall be appropriate to the relevant circumstances and the risks.
 The technical solutions to address AI specific vulnerabilities shall include, where appropriate, measures to prevent and control for attacks trying to manipulate the training dataset (Ã¢â‚¬Ëœdata poisoningÃ¢â‚¬â„¢), inputs designed to cause the model to make a mistake (Ã¢â‚¬Ëœadversarial examplesÃ¢â‚¬â„¢), or model flaws.</t>
  </si>
  <si>
    <t>"Article 15(4)"</t>
  </si>
  <si>
    <t>Chapter 3</t>
  </si>
  <si>
    <t>OBLIGATIONS OF PROVIDERS AND USERS OF HIGH-RISK AI SYSTEMS and other parties</t>
  </si>
  <si>
    <t>Article 17</t>
  </si>
  <si>
    <t>Quality management system</t>
  </si>
  <si>
    <t>Providers of high-risk AI systems shall put a quality management system in place that ensures compliance with this Regulation. That system shall be documented in a systematic and orderly manner in the form of written policies, procedures and instructions, and shall include at least the following aspects:</t>
  </si>
  <si>
    <t>systems and procedures for data management, including data collection, data analysis, data labelling, data storage, data filtration, data mining, data aggregation, data retention and any other operation regarding the data that is performed before and for the purposes of the placing on the market or putting into service of high-risk AI systems;</t>
  </si>
  <si>
    <t>"Article 17(1)(f)"</t>
  </si>
  <si>
    <t>j</t>
  </si>
  <si>
    <t>the handling of communication with national competent authorities, competent authorities, including sectoral ones, providing or supporting the access to data, notified bodies, other operators, customers or other interested parties;</t>
  </si>
  <si>
    <t>"Article 17(1)(j)"</t>
  </si>
  <si>
    <t>Article 29</t>
  </si>
  <si>
    <t>Obligations of users of high-risk AI systems</t>
  </si>
  <si>
    <t>Without prejudice to paragraph 1, to the extent the user exercises control over the input data, that user shall ensure that input data is relevant in view of the intended purpose of the high-risk AI system.</t>
  </si>
  <si>
    <t>"Article 29(3)"</t>
  </si>
  <si>
    <t>Users of high-risk AI systems shall use the information provided under Article 13 to comply with their obligation to carry out a data protection impact assessment under Article 35 of Regulation (EU) 2016/679 or Article 27 of Directive (EU) 2016/680, where applicable.</t>
  </si>
  <si>
    <t>"Article 29(6)"</t>
  </si>
  <si>
    <t>Chapter 5</t>
  </si>
  <si>
    <t>STANDARDS, CONFORMITY ASSESSMENT, CERTIFICATES, REGISTRATION</t>
  </si>
  <si>
    <t>Article 42</t>
  </si>
  <si>
    <t>Presumption of conformity with certain requirements</t>
  </si>
  <si>
    <t>Taking into account their intended purpose, high-risk AI systems that have been trained and tested on data concerning the specific geographical, behavioural and functional setting within which they are intended to be used shall be presumed to be in compliance with the requirement set out in Article 10(4).</t>
  </si>
  <si>
    <t>"Article 42(1)"</t>
  </si>
  <si>
    <t>Article 51</t>
  </si>
  <si>
    <t>Registration</t>
  </si>
  <si>
    <t>Before placing on the market or putting into service a high-risk AI system referred to in Article 6(2), the provider or, where applicable, the authorised representative shall register that system in the EU database referred to in Article 60.</t>
  </si>
  <si>
    <t>"Article 51(1)"</t>
  </si>
  <si>
    <t>TITLE 5</t>
  </si>
  <si>
    <t>MEASURES IN SUPPORT OF INNOVATION</t>
  </si>
  <si>
    <t>Article 53</t>
  </si>
  <si>
    <t>AI regulatory sandboxes</t>
  </si>
  <si>
    <t>AI regulatory sandboxes established by one or more Member States competent authorities or the European Data Protection Supervisor shall provide a controlled environment that facilitates the development, testing and validation of innovative AI systems for a limited time before their placement on the market or putting into service&amp;nbsp;pursuant to a specific plan. This shall take place under the direct supervision and guidance by the competent authorities with a view to ensuring compliance with the requirements of this Regulation and, where relevant, other Union and Member States legislation supervised within the sandbox.</t>
  </si>
  <si>
    <t>"Article 53(1)"</t>
  </si>
  <si>
    <t>Member States shall ensure that to the extent the innovative AI systems involve the processing of personal data or otherwise fall under the supervisory remit of other national authorities or competent authorities providing or supporting access to data, the national data protection authorities and those other national authorities are associated to the operation of the AI regulatory sandbox.</t>
  </si>
  <si>
    <t>"Article 53(2)"</t>
  </si>
  <si>
    <t>Article 54</t>
  </si>
  <si>
    <t>Further processing of personal dataÃƒÂ¿for developing certain AI systems in the public interestÃƒÂ¿in the AI regulatory sandbox</t>
  </si>
  <si>
    <t>In the AI regulatory sandbox personal data lawfully collected for other purposes shall be processed for the purposes of developing and testing certain innovative AI systems in the sandbox under the following conditions:</t>
  </si>
  <si>
    <t>the innovative AI systems shall be developed for safeguarding substantial public interest in one or more of the following areas:</t>
  </si>
  <si>
    <t>the prevention, investigation, detection or prosecution of criminal offences or the execution of criminal penalties, including the safeguarding against and the prevention of threats to public security, under the control and responsibility of the competent authorities. The processing shall be based on Member State or Union law;</t>
  </si>
  <si>
    <t>"Article 54(1)(a)(i)"</t>
  </si>
  <si>
    <t>ii</t>
  </si>
  <si>
    <t>public safety and public health, including disease prevention, control and treatment;</t>
  </si>
  <si>
    <t>"Article 54(1)(a)(ii)"</t>
  </si>
  <si>
    <t>iii</t>
  </si>
  <si>
    <t>a high level of protection and improvement of the quality of the environment;</t>
  </si>
  <si>
    <t>"Article 54(1)(a)(iii)"</t>
  </si>
  <si>
    <t>the data processed are necessary for complying with one or more of the requirements referred to in Title III, Chapter 2 where those requirements cannot be effectively fulfilled by processing anonymised, synthetic or other non-personal data;</t>
  </si>
  <si>
    <t>"Article 54(1)(b)"</t>
  </si>
  <si>
    <t>there are effective monitoring mechanisms to identify if any high risks to the fundamental rights of the data subjects may arise during the sandbox experimentation as well as response mechanism to promptly mitigate those risks and, where necessary, stop the processing;</t>
  </si>
  <si>
    <t>"Article 54(1)(c)"</t>
  </si>
  <si>
    <t>any personal data to be processed in the context of the sandbox are in a functionally separate, isolated and protected data processing environment under the control of the participants and only authorised persons have access to that data;</t>
  </si>
  <si>
    <t>"Article 54(1)(d)"</t>
  </si>
  <si>
    <t>any personal data processed are not be transmitted, transferred or otherwise accessed by other parties;</t>
  </si>
  <si>
    <t>"Article 54(1)(e)"</t>
  </si>
  <si>
    <t>any processing of personal data in the context of the sandbox do not lead to measures or decisions affecting the data subjects;</t>
  </si>
  <si>
    <t>"Article 54(1)(f)"</t>
  </si>
  <si>
    <t>any personal data processed in the context of the sandbox are deleted once the participation in the sandbox has terminated or the personal data has reached the end of its retention period;</t>
  </si>
  <si>
    <t>"Article 54(1)(g)"</t>
  </si>
  <si>
    <t>h</t>
  </si>
  <si>
    <t>the logs of the processing of personal data in the context of the sandbox are kept for the duration of the participation in the sandbox and 1 year after its termination, solely for the purpose of and only as long as necessary for fulfilling accountability and documentation obligations under this Article or other application Union or Member States legislation;</t>
  </si>
  <si>
    <t>"Article 54(1)(h)"</t>
  </si>
  <si>
    <t>complete and detailed description of the process and rationale behind the training, testing and validation of the AI system is kept together with the testing results as part of the technical documentation in Annex IV;</t>
  </si>
  <si>
    <t>"Article 54(1)(i)"</t>
  </si>
  <si>
    <t>a short summary of the AI project developed in the sandbox, its objectives and expected results published on the website of the competent authorities.</t>
  </si>
  <si>
    <t>"Article 54(1)(j)"</t>
  </si>
  <si>
    <t>Paragraph 1 is without prejudice to Union or Member States legislation excluding processing for other purposes than those explicitly mentioned in that legislation.</t>
  </si>
  <si>
    <t>"Article 54(2)"</t>
  </si>
  <si>
    <t>TITLE 6</t>
  </si>
  <si>
    <t>GOVERNANCE</t>
  </si>
  <si>
    <t>European Artificial Intelligence Board</t>
  </si>
  <si>
    <t>Article 57</t>
  </si>
  <si>
    <t>Structure of the Board</t>
  </si>
  <si>
    <t>The Board shall be composed of the national supervisory authorities, who shall be represented by the head or equivalent high-level official of that authority, and the European Data Protection Supervisor. Other national authorities may be invited to the meetings, where the issues discussed are of relevance for them.</t>
  </si>
  <si>
    <t>"Article 57(1)"</t>
  </si>
  <si>
    <t>Article 59</t>
  </si>
  <si>
    <t>Designation of national competent authorities</t>
  </si>
  <si>
    <t>Member States shall ensure that national competent authorities are provided with adequate financial and human resources to fulfil their tasks under this Regulation. In particular, national competent authorities shall have a sufficient number of personnel permanently available whose competences and expertise shall include an in-depth understanding of artificial intelligence technologies, data and data computing, fundamental rights, health and safety risks and knowledge of existing standards and legal requirements.</t>
  </si>
  <si>
    <t>"Article 59(4)"</t>
  </si>
  <si>
    <t>When Union institutions, agencies and bodies fall within the scope of this Regulation, the European Data Protection Supervisor shall act as the competent authority for their supervision.</t>
  </si>
  <si>
    <t>"Article 59(8)"</t>
  </si>
  <si>
    <t>TITLE 7</t>
  </si>
  <si>
    <t>EU DATABASE FOR STAND-ALONE HIGH-RISK AI SYSTEMS</t>
  </si>
  <si>
    <t>Article 60</t>
  </si>
  <si>
    <t>EU database for stand-alone high-risk AI systems</t>
  </si>
  <si>
    <t>The Commission shall, in collaboration with the Member States, set up and maintain a EU database containing information referred to in paragraph 2 concerning high-risk AI systems referred to in Article 6(2) which are registered in accordance with Article 51.</t>
  </si>
  <si>
    <t>"Article 60(1)"</t>
  </si>
  <si>
    <t>The data listed in Annex VIII shall be entered into the EU database by the providers. The Commission shall provide them with technical and administrative support.</t>
  </si>
  <si>
    <t>"Article 60(2)"</t>
  </si>
  <si>
    <t>Information contained in the EU database shall be accessible to the public.</t>
  </si>
  <si>
    <t>"Article 60(3)"</t>
  </si>
  <si>
    <t>The EU database shall contain personal data only insofar as necessary for collecting and processing information in accordance with this Regulation. That information shall include the names and contact details of natural persons who are responsible for registering the system and have the legal authority to represent the provider.</t>
  </si>
  <si>
    <t>"Article 60(4)"</t>
  </si>
  <si>
    <t>The Commission shall be the controller of the EU database. It shall also ensure to providers adequate technical and administrative support.</t>
  </si>
  <si>
    <t>"Article 60(5)"</t>
  </si>
  <si>
    <t>TITLE 8</t>
  </si>
  <si>
    <t>POST-MARKET MONITORING, INFORMATION SHARING, MARKET SURVEILLANCE</t>
  </si>
  <si>
    <t>Post-market monitoring</t>
  </si>
  <si>
    <t>Article 61</t>
  </si>
  <si>
    <t>Post-market monitoring by providers and post-market monitoring plan for high-risk AI systems</t>
  </si>
  <si>
    <t>The post-market monitoring system shall actively and systematically collect, document and analyse relevant data provided by users or collected through other sources on the performance of high-risk AI systems throughout their lifetime, and allow the provider to evaluate the continuous compliance of AI systems with the requirements set out in Title III, Chapter 2.</t>
  </si>
  <si>
    <t>"Article 61(2)"</t>
  </si>
  <si>
    <t>Enforcement</t>
  </si>
  <si>
    <t>Article 63</t>
  </si>
  <si>
    <t>Market surveillance and control of AI systems in the Union market</t>
  </si>
  <si>
    <t>For AI systems listed in point 1(a) in so far as the systems are used for law enforcement purposes, points 6 and 7 of Annex III, Member States shall designate as market surveillance authorities for the purposes of this Regulation either the competent data protection supervisory authorities under Directive (EU) 2016/680, or Regulation 2016/679 or the national competent authorities supervising the activities of the law enforcement, immigration or asylum authorities putting into service or using those systems.</t>
  </si>
  <si>
    <t>"Article 63(5)"</t>
  </si>
  <si>
    <t>Where Union institutions, agencies and bodies fall within the scope of this Regulation, the European Data Protection Supervisor shall act as their market surveillance authority.</t>
  </si>
  <si>
    <t>"Article 63(6)"</t>
  </si>
  <si>
    <t>Article 64</t>
  </si>
  <si>
    <t>Access to data and documentation</t>
  </si>
  <si>
    <t>Access to data and documentation in the context of their activities, the market surveillance authorities shall be granted full access to the training, validation and testing datasets used by the provider, including through application programming interfaces (?API?) or other appropriate technical means and tools enabling remote access.</t>
  </si>
  <si>
    <t>"Article 64(1)"</t>
  </si>
  <si>
    <t>Article 65</t>
  </si>
  <si>
    <t>Procedure for dealing with AI systems presenting a risk at national level</t>
  </si>
  <si>
    <t>The information referred to in paragraph 5 shall include all available details, in particular the data necessary for the identification of the non-compliant AI system, the origin of the AI system, the nature of the non-compliance alleged and the risk involved, the nature and duration of the national measures taken and the arguments put forward by the relevant operator. In particular, the market surveillance authorities shall indicate whether the non-compliance is due to one or more of the following:</t>
  </si>
  <si>
    <t>a failure of the AI system to meet requirements set out in Title III, Chapter 2;</t>
  </si>
  <si>
    <t>"Article 65(6)(a)"</t>
  </si>
  <si>
    <t>shortcomings in the harmonised standards or common specifications referred to in Articles 40 and 41 conferring a presumption of conformity.</t>
  </si>
  <si>
    <t>"Article 65(6)(b)"</t>
  </si>
  <si>
    <t>Article 67</t>
  </si>
  <si>
    <t>Compliant AI systems which present a risk</t>
  </si>
  <si>
    <t>The Member State shall immediately inform the Commission and the other Member States. That information shall include all available details, in particular the data necessary for the identification of the AI system concerned, the origin and the supply chain of the AI system, the nature of the risk involved and the nature and duration of the national measures taken.</t>
  </si>
  <si>
    <t>"Article 67(3)"</t>
  </si>
  <si>
    <t>TITLE 10</t>
  </si>
  <si>
    <t>CONFIDENTIALITY AND PENALTIES</t>
  </si>
  <si>
    <t>Article 70</t>
  </si>
  <si>
    <t>Confidentiality</t>
  </si>
  <si>
    <t>National competent authorities and notified bodies involved in the application of this Regulation shall respect the confidentiality of information and data obtained in carrying out their tasks and activities in such a manner as to protect, in particular:</t>
  </si>
  <si>
    <t>intellectual property rights, and confidential business information or trade secrets of a natural or legal person, including source code, except the cases referred to in Article 5 of Directive 2016/943 on the protection of undisclosed know-how and business information (trade secrets) against their unlawful acquisition, use and disclosure apply.</t>
  </si>
  <si>
    <t>"Article 70(1)(a)"</t>
  </si>
  <si>
    <t>the effective implementation of this Regulation, in particular for the purpose of inspections, investigations or audits;(c) public and national security interests;</t>
  </si>
  <si>
    <t>"Article 70(1)(b)"</t>
  </si>
  <si>
    <t>integrity of criminal or administrative proceedings.</t>
  </si>
  <si>
    <t>"Article 70(1)(c)"</t>
  </si>
  <si>
    <t>Article 72</t>
  </si>
  <si>
    <t>Administrative fines on Union institutions, agencies andÃƒÂ¿bodies</t>
  </si>
  <si>
    <t>The European Data Protection Supervisor may impose administrative fines on Union institutions, agencies and bodies falling within the scope of this Regulation. When deciding whether to impose an administrative fine and deciding on the amount of the administrative fine in each individual case, all relevant circumstances of the specific situation shall be taken into account and due regard shall be given to the following:</t>
  </si>
  <si>
    <t>the nature, gravity and duration of the infringement and of its consequences;</t>
  </si>
  <si>
    <t>"Article 72(1)(a)"</t>
  </si>
  <si>
    <t>the cooperation with the European Data Protection Supervisor in order to remedy the infringement and mitigate the possible adverse effects of the infringement, including compliance with any of the measures previously ordered by the European Data Protection Supervisor against the Union institution or agency or body concerned with regard to the same subject matter;</t>
  </si>
  <si>
    <t>"Article 72(1)(b)"</t>
  </si>
  <si>
    <t>any similar previous infringements by the Union institution, agency or body;</t>
  </si>
  <si>
    <t>"Article 72(1)(c)"</t>
  </si>
  <si>
    <t>Before taking decisions pursuant to this Article, the European Data Protection Supervisor shall give the Union institution, agency or body which is the subject of the proceedings conducted by the European Data Protection Supervisor the opportunity of being heard on the matter regarding the possible infringement. The European Data Protection Supervisor shall base his or her decisions only on elements and circumstances on which the parties concerned have been able to comment. Complainants, if any, shall be associated closely with the proceedings.</t>
  </si>
  <si>
    <t>"Article 72(4)"</t>
  </si>
  <si>
    <t>The rights of defense of the parties concerned shall be fully respected in the proceedings. They shall be entitled to have access to the European Data Protection Supervisor?s file, subject to the legitimate interest of individuals or undertakings in the protection of their personal data or business secrets.</t>
  </si>
  <si>
    <t>"Article 72(5)"</t>
  </si>
  <si>
    <t>Artificial intelligence systems (AI systems) can be easily deployed in multiple sectors of the economy and society, including cross border, and circulate throughout the Union. Certain Member States have already explored the adoption of national rules to ensure that artificial intelligence is safe and is developed and used in compliance with fundamental rights obligations. Differing national rules may lead to fragmentation of the internal market and decrease legal certainty for operators that develop or use AI systems. A consistent and high level of protection throughout the Union should therefore be ensured, while divergences hampering the free circulation of AI systems and related products and services within the internal market should be prevented, by laying down uniform obligations for operators and guaranteeing the uniform protection of overriding reasons of public interest and of rights of persons throughout the internal market based on Article 114 of the Treaty on the Functioning of the European Union (TFEU). To the extent that this Regulation contains specific rules on the protection of individuals with regard to the processing of personal data concerning restrictions of the use of AI systems for ‘real-time’ remote biometric identification in publicly accessible spaces for the purpose of law enforcement, it is appropriate to base this Regulation, in as far as those specific rules are concerned, on Article 16 of the TFEU. In light of&amp;nbsp;those specific rules and the recourse to Article 16 TFEU, it is appropriate&amp;nbsp;to consult the European Data Protection Board.</t>
  </si>
  <si>
    <t>"Recital(2)"</t>
  </si>
  <si>
    <t>The notion of biometric data used in this Regulation is in line with and should be interpreted consistently with the notion of biometric data as defined in Article 4(14) of Regulation (EU) 2016/679 of the European Parliament and of the Council&lt;/span&gt;&lt;span class="FootnoteReference"&gt; &lt;a class="footnoteRef" id="footnoteref36" href="#footnote36"&gt;35&lt;/a&gt; , Article 3(18) of Regulation (EU) 2018/1725 of the European Parliament and of the Council&lt;/span&gt;&lt;span class="FootnoteReference"&gt; &lt;a class="footnoteRef" id="footnoteref37" href="#footnote37"&gt;36&lt;/a&gt;  and Article 3(13) of Directive (EU) 2016/680 of the European Parliament and of the Council&lt;/span&gt;&lt;span class="FootnoteReference"&gt; &lt;a class="footnoteRef" id="footnoteref38" href="#footnote38"&gt;37&lt;/a&gt; .</t>
  </si>
  <si>
    <t>"Recital(7)"</t>
  </si>
  <si>
    <t>The notion of remote biometric identification system as used in this Regulation should be defined functionally, as an AI system intended for the identification of natural persons at a distance through the comparison of a person’s biometric data with the biometric data contained in a reference database, and without prior knowledge whether the targeted person will be present and can be identified, irrespectively of the particular technology, processes or types of biometric data used. Considering their different characteristics and manners in which they are used, as well as the different risks involved, a distinction should be made between ‘real-time’ and ‘post’ remote biometric identification systems. In the case of ‘real-time’ systems, the capturing of the biometric data, the comparison and the identification occur all instantaneously, near-instantaneously or in any event without a significant delay. In this regard, there should be no scope for circumventing the rules of this Regulation on the ‘real-time’ use of the AI systems in question by providing for minor delays. ‘Real-time’ systems involve the use of ‘live’ or ‘near-‘live’ material, such as video footage, generated by a camera or other device with similar functionality. In the case of ‘post’ systems, in contrast, the biometric data have already been captured and the comparison and identification occur only after a significant delay. This involves material, such as pictures or video footage generated by&amp;nbsp;closed circuit television cameras or private devices, which has been generated before the use of the system in respect of the natural persons concerned.</t>
  </si>
  <si>
    <t>"Recital(8)"</t>
  </si>
  <si>
    <t>For the purposes of this Regulation the notion of publicly accessible space should be understood as referring to any physical place that is accessible to the public, irrespective of whether the place in question is privately or publicly owned. Therefore, the notion does not cover places that are private in nature and normally not freely accessible for third parties, including law enforcement authorities, unless those parties have been specifically invited or authorised, such as homes, private clubs, offices, warehouses and factories. Online spaces are not covered either, as they are not physical spaces. However, the mere fact that certain conditions for accessing a particular space may apply, such as admission tickets or age restrictions, does not mean that the space is not publicly accessible within the meaning of this Regulation. Consequently, in addition to public spaces such as streets, relevant parts of government buildings and most transport infrastructure, spaces such as cinemas, theatres, shops and shopping centres are normally also publicly accessible. Whether a given space is accessible to the public should however be determined on a case-by-case basis, having regard to the specificities of the individual situation at hand.&amp;nbsp;</t>
  </si>
  <si>
    <t>"Recital(9)"</t>
  </si>
  <si>
    <t>In order to ensure a level playing field and an effective protection of rights and freedoms of individuals across the Union, the rules established by this Regulation should apply to providers of AI systems in a non-discriminatory manner, irrespective of whether they are established within the Union or in a third country, and to users of AI systems established within the Union.</t>
  </si>
  <si>
    <t>"Recital(10)"</t>
  </si>
  <si>
    <t>In light of their digital nature, certain AI systems should fall within the scope of this Regulation even when they are neither placed on the market, nor put into service, nor used in the Union. This is the case for example of an operator established in the Union that contracts certain services to an operator established outside the Union in relation to an activity to be performed by an AI system that would qualify as high-risk and whose effects impact natural persons located in the Union. In those circumstances, the AI system used by the operator outside the Union could process data lawfully collected in and transferred from the Union, and provide to the contracting operator in the Union the output of that AI system resulting from that processing, without that AI system being placed on the market, put into service or used in the Union. To prevent the circumvention of this Regulation and to ensure an effective protection of natural persons located in the Union, this Regulation should also apply to providers and users of AI systems that are established in a third country, to the extent the output produced by those systems is used in the Union. Nonetheless, to take into account existing arrangements and special needs for cooperation with foreign partners with whom information and evidence is exchanged, this Regulation should not apply to public authorities of a third country and international organisations when acting in the framework of international agreements concluded at national or European level for law enforcement and judicial cooperation with the Union or with its Member States. Such agreements have been concluded bilaterally between Member States and third countries or between the European Union, Europol and other EU agencies and third countries and international organisations.</t>
  </si>
  <si>
    <t>"Recital(11)"</t>
  </si>
  <si>
    <t>This Regulation should also apply to Union institutions, offices, bodies and agencies when acting as a provider or user of an AI system. AI systems exclusively developed or used for military purposes should be excluded from the scope of this Regulation where that use falls under the exclusive remit of the Common Foreign and Security Policy regulated under Title V of the Treaty on the European Union (TEU).&amp;nbsp;This Regulation should be without prejudice to the provisions regarding the liability of intermediary service providers set out in Directive 2000/31/EC of the European Parliament and of the Council [as amended by the Digital Services Act].</t>
  </si>
  <si>
    <t>"Recital(12)"</t>
  </si>
  <si>
    <t>In order to ensure a consistent and high level of protection of public interests as regards health, safety and fundamental rights, common normative standards for all high-risk AI systems should be established. Those standards should be consistent with the Charter of fundamental rights of the European Union (the Charter) and should be non-discriminatory and in line with the Union’s international trade commitments.</t>
  </si>
  <si>
    <t>"Recital(13)"</t>
  </si>
  <si>
    <t>In order to introduce a proportionate and effective set of binding rules for AI systems, a clearly defined risk-based approach should be followed. That approach should tailor the type and content of such rules to the intensity and scope of the risks that AI systems can generate. It is therefore necessary to prohibit certain artificial intelligence practices, to lay down requirements for high-risk AI systems and obligations for the relevant operators, and to lay down transparency obligations for certain AI systems.</t>
  </si>
  <si>
    <t>"Recital(14)"</t>
  </si>
  <si>
    <t>Aside from the many beneficial uses of artificial intelligence, that technology can also be misused and provide novel and powerful tools for manipulative, exploitative and social control practices. Such practices are particularly harmful and should be prohibited because they contradict Union values of respect for human dignity, freedom, equality, democracy and the rule of law and Union fundamental rights, including the right to non-discrimination, data protection and privacy and the rights of the child.</t>
  </si>
  <si>
    <t>"Recital(15)"</t>
  </si>
  <si>
    <t>The placing on the market, putting into service or use of certain AI systems intended to distort human behaviour, whereby physical or psychological harms are likely to occur, should be forbidden. Such AI systems deploy subliminal components individuals cannot perceive or exploit vulnerabilities of children and people due to their age, physical or mental incapacities. They do so with the intention to materially distort the behaviour of a person and in a manner that causes or is likely to cause harm to that or another person. The intention may not be presumed if the distortion of human behaviour results from factors external to the AI system which are outside of the control of the provider or the user. Research for legitimate purposes in relation to such AI systems should not be stifled by the prohibition, if such research does not amount to use of the AI system in human-machine relations that exposes natural persons to harm and such research is carried out in accordance with recognised ethical standards for scientific research.</t>
  </si>
  <si>
    <t>"Recital(16)"</t>
  </si>
  <si>
    <t>AI systems providing social scoring of natural persons for general purpose by public authorities or on their behalf may lead to discriminatory outcomes and the exclusion of certain groups. They may violate the right to dignity and non-discrimination and the values of equality and justice. Such AI systems evaluate or classify the trustworthiness of natural persons based on their social behaviour in multiple contexts or known or predicted personal or personality characteristics. The social score obtained from such AI systems may lead to the detrimental or unfavourable treatment of natural persons or whole groups thereof in social contexts, which are unrelated to the context in which the data was originally generated or collected or to a detrimental treatment that is disproportionate or unjustified to the gravity of their social behaviour.&amp;nbsp;Such AI systems should be therefore prohibited.</t>
  </si>
  <si>
    <t>"Recital(17)"</t>
  </si>
  <si>
    <t>The use of AI systems for ‘real-time’ remote biometric identification of natural persons in publicly accessible spaces for the purpose of law enforcement is considered particularly intrusive in the rights and freedoms of the concerned persons, to the extent that it may affect the private life of a large part of the population, evoke a feeling of constant surveillance and indirectly dissuade the exercise of the freedom of assembly and other fundamental rights. In addition, the immediacy of the impact and the limited opportunities for further checks or corrections&amp;nbsp;in relation to the use of such systems operating in ‘real-time’ carry heightened risks for the rights and freedoms of the persons that are concerned by law enforcement activities.</t>
  </si>
  <si>
    <t>"Recital(18)"</t>
  </si>
  <si>
    <t>The use of those systems for the purpose of law enforcement should therefore be prohibited, except in three exhaustively listed and narrowly defined situations, where the use is strictly necessary to achieve a substantial public interest, the importance of which outweighs the risks. Those situations involve the search for potential victims of crime, including missing children; certain threats to the life or physical safety of natural persons or of a terrorist attack; and the detection, localisation, identification or prosecution of perpetrators or suspects of the criminal offences referred to in Council Framework Decision 2002/584/JHA&lt;/span&gt;&lt;span class="FootnoteReference"&gt; &lt;a class="footnoteRef" id="footnoteref39" href="#footnote39"&gt;38&lt;/a&gt;  if those criminal offences are punishable in the Member State concerned by a custodial sentence or a detention order for a maximum period of at least three years and as they are defined in the law of that Member State. Such threshold for the custodial sentence or detention order in accordance with national law contributes to ensure that the offence should be serious enough to potentially justify the use of ‘real-time’ remote biometric identification systems. Moreover, of the 32 criminal offences listed in the Council Framework Decision 2002/584/JHA, some are in practice likely to be more relevant than others, in that the recourse to ‘real-time’ remote biometric identification will foreseeably be necessary and proportionate to highly varying degrees for the practical pursuit of the detection, localisation, identification or prosecution of a perpetrator or suspect of the different criminal offences listed and having regard to the likely differences in&amp;nbsp;the seriousness, probability and scale of the harm or possible negative consequences.</t>
  </si>
  <si>
    <t>"Recital(19)"</t>
  </si>
  <si>
    <t>In order to ensure that those systems are used in a responsible and proportionate manner, it is also important to establish that, in each of those three exhaustively listed and narrowly defined situations, certain elements should be taken into account, in particular as regards the nature of the situation giving rise to the request and the consequences of the use for the rights and freedoms of all persons concerned and the safeguards and conditions provided for with the use. In addition, the use of ‘real-time’ remote biometric identification systems in publicly accessible spaces for the purpose of law enforcement should be subject to appropriate limits in time and space, having regard in particular to the evidence or indications regarding the threats, the victims or perpetrator.&amp;nbsp;The reference database of persons should be appropriate for each use case in each of the three situations mentioned above.</t>
  </si>
  <si>
    <t>"Recital(20)"</t>
  </si>
  <si>
    <t>Each use of a ‘real-time’ remote biometric identification system in publicly accessible spaces for the purpose of law enforcement should be subject to an express and specific authorisation by a judicial authority or by an independent administrative authority of a Member State. Such authorisation should in principle be obtained prior to the use, except in duly justified situations of urgency, that is, situations where the need to use the systems in question is such as to make it effectively and objectively impossible to obtain an authorisation before commencing the use. In such situations of urgency, the use should be restricted to the absolute minimum necessary and be subject to appropriate safeguards and conditions, as determined in national law and specified in the context of each individual urgent use case by the law enforcement authority itself. In addition, the law enforcement authority should in such situations seek to obtain an authorisation as soon as possible, whilst providing the reasons for not having been able to request it earlier.</t>
  </si>
  <si>
    <t>"Recital(21)"</t>
  </si>
  <si>
    <t>Furthermore, it is appropriate to provide, within the exhaustive framework set by this Regulation that such use in the territory of a Member State in accordance with this Regulation should only be possible where and in as far as the Member State in question has decided to expressly provide for the possibility to authorise such use in its detailed rules of national law. Consequently, Member States remain free under this Regulation not to provide for such a possibility at all or to only provide for such a possibility in respect of some of the objectives capable of justifying authorised use identified in this Regulation.</t>
  </si>
  <si>
    <t>"Recital(22)"</t>
  </si>
  <si>
    <t>The use of AI systems for ‘real-time’ remote biometric identification of natural persons in publicly accessible spaces for the purpose of law enforcement necessarily involves the processing of biometric data. The rules of this Regulation that prohibit, subject to certain exceptions, such use, which are based on Article 16 TFEU, should apply as lex specialis in respect of the rules on the processing of biometric data contained in Article 10 of Directive (EU) 2016/680, thus regulating such use and the processing of biometric data involved in an exhaustive manner. Therefore, such use and processing should only be possible in as far as it is compatible with the framework set by this Regulation, without there being scope, outside that framework, for the competent authorities, where they act for purpose of law enforcement, to use such systems and process such data in connection thereto on the grounds listed in Article 10 of Directive (EU) 2016/680. In this context, this Regulation is not intended to provide the legal basis for the processing of personal data under Article 8 of Directive 2016/680. However, the use of ‘real-time’ remote biometric identification systems in publicly accessible spaces for purposes other than law enforcement, including by competent authorities, should not be covered by the specific framework regarding such use for the purpose of law enforcement set by this Regulation. Such use for purposes other than law enforcement should therefore not be subject to the requirement of an authorisation under this Regulation&amp;nbsp;and the applicable detailed rules of national law that may give effect to it.</t>
  </si>
  <si>
    <t>"Recital(23)"</t>
  </si>
  <si>
    <t>Any processing of biometric data and other personal data involved in the use of AI systems for biometric identification, other than in connection to the use of ‘real-time’ remote biometric identification systems in publicly accessible spaces for the purpose of law enforcement as regulated by this Regulation, including where those systems are used by competent authorities in publicly accessible spaces for other purposes than law enforcement, should continue to comply with all requirements resulting from Article 9(1) of Regulation (EU) 2016/679, Article 10(1) of Regulation (EU) 2018/1725 and Article 10 of Directive (EU) 2016/680, as applicable.&amp;nbsp;</t>
  </si>
  <si>
    <t>"Recital(24)"</t>
  </si>
  <si>
    <t>In accordance with Article 6a of Protocol No 21 on the position of the United Kingdom and Ireland in respect of the area of freedom, security and justice, as annexed to the TEU and to the TFEU, Ireland is not bound by the rules laid down in Article 5(1), point (d), (2) and (3) of this Regulation adopted on the basis of Article 16 of the TFEU which relate to the processing of personal data by the Member States when carrying out activities falling within the scope of Chapter 4 or Chapter 5 of Title V of Part Three of the TFEU, where Ireland is not bound by the rules governing the forms of judicial cooperation in criminal matters or police cooperation which require compliance with the provisions laid down on the basis of Article 16 of the TFEU.&amp;nbsp;</t>
  </si>
  <si>
    <t>"Recital(25)"</t>
  </si>
  <si>
    <t>In accordance with Articles 2 and 2a of Protocol No 22 on the position of Denmark, annexed to the TEU and TFEU, Denmark is not bound by rules laid down in Article 5(1), point (d), (2) and (3) of this Regulation adopted on the basis of Article 16 of the TFEU, or subject to their application, which relate to the processing of personal data by the Member States when carrying out activities falling within the scope of Chapter 4 or Chapter 5 of Title V of Part Three of the TFEU.&amp;nbsp;</t>
  </si>
  <si>
    <t>"Recital(26)"</t>
  </si>
  <si>
    <t>High-risk AI systems should only be placed on the Union market or put into service if they comply with certain mandatory requirements. Those requirements should ensure that high-risk AI systems available in the Union or whose output is otherwise used in the Union do not pose unacceptable risks to important Union public interests as recognised and protected by Union law. AI systems identified as high-risk should be limited to those that have a significant harmful impact on the health, safety and fundamental rights of persons in the Union and such limitation minimises any potential restriction to international trade, if any.</t>
  </si>
  <si>
    <t>"Recital(27)"</t>
  </si>
  <si>
    <t>AI systems could produce adverse outcomes to health and safety of persons, in particular when such systems operate as components of products. Consistently with the objectives of Union harmonisation legislation to facilitate the free movement of products in the internal market and to ensure that only safe and otherwise compliant products find their way into the market, it is important that the safety risks that may be generated by a product as a whole due to its digital components, including AI systems, are duly prevented and mitigated. For instance, increasingly autonomous robots, whether in the context of manufacturing or personal assistance and care should be able to safely operate and performs their functions in complex environments. Similarly, in the health sector where the stakes for life and health are particularly high, increasingly sophisticated diagnostics systems and systems supporting human decisions should be reliable and accurate. The extent of the adverse impact caused by the AI system on the fundamental rights protected by the Charter is of particular relevance when classifying an AI system as high-risk. Those rights include the right to human dignity, respect for private and family life, protection of personal data, freedom of expression and information, freedom of assembly and of association, and non-discrimination, consumer protection, workers’ rights,&amp;nbsp;rights of persons with disabilities, right to an effective remedy and to a fair trial, right of defence and the presumption of innocence, right to good administration. In addition to those rights, it is important to highlight that children have specific rights as enshrined in Article 24 of the EU Charter and in the United Nations Convention on the Rights of the Child (further elaborated in the UNCRC General Comment No. 25 as regards the digital environment), both of which require consideration of the children’s vulnerabilities and provision of such protection and care as necessary for their well-being. The fundamental right to a high level of environmental protection enshrined in the Charter and implemented in Union policies should also be considered when assessing the severity of the harm that an AI system can cause, including in relation to the health and safety of persons.</t>
  </si>
  <si>
    <t>"Recital(28)"</t>
  </si>
  <si>
    <t>As regards high-risk AI systems that are safety components of products or systems, or which are themselves products or systems falling within the scope of Regulation (EC) No 300/2008 of the European Parliament and of the Council&lt;/span&gt;&lt;span class="FootnoteReference"&gt; &lt;a class="footnoteRef" id="footnoteref40" href="#footnote40"&gt;39&lt;/a&gt; , Regulation (EU) No 167/2013&amp;nbsp;of the European Parliament and of the Council&lt;/span&gt;&lt;span class="FootnoteReference"&gt; &lt;a class="footnoteRef" id="footnoteref41" href="#footnote41"&gt;40&lt;/a&gt; , Regulation (EU) No 168/2013&amp;nbsp;of the European Parliament and of the Council&lt;/span&gt;&lt;span class="FootnoteReference"&gt; &lt;a class="footnoteRef" id="footnoteref42" href="#footnote42"&gt;41&lt;/a&gt; , Directive 2014/90/EU&amp;nbsp;of the European Parliament and of the Council&lt;/span&gt;&lt;span class="FootnoteReference"&gt; &lt;a class="footnoteRef" id="footnoteref43" href="#footnote43"&gt;42&lt;/a&gt; , Directive (EU) 2016/797&amp;nbsp;of the European Parliament and of the Council&lt;/span&gt;&lt;span class="FootnoteReference"&gt; &lt;a class="footnoteRef" id="footnoteref44" href="#footnote44"&gt;43&lt;/a&gt; , Regulation (EU) 2018/858&amp;nbsp;of the European Parliament and of the Council&lt;/span&gt;&lt;span class="FootnoteReference"&gt; &lt;a class="footnoteRef" id="footnoteref45" href="#footnote45"&gt;44&lt;/a&gt; , Regulation (EU) 2018/1139 of the European Parliament and of the Council&lt;/span&gt;&lt;span class="FootnoteReference"&gt; &lt;a class="footnoteRef" id="footnoteref46" href="#footnote46"&gt;45&lt;/a&gt; , and Regulation (EU) 2019/2144&amp;nbsp;of the European Parliament and of the Council&lt;/span&gt;&lt;span class="FootnoteReference"&gt; &lt;a class="footnoteRef" id="footnoteref47" href="#footnote47"&gt;46&lt;/a&gt; , it is appropriate to amend those acts to ensure that the Commission takes into account, on the basis of the technical and regulatory specificities of each sector, and without interfering with existing governance, conformity assessment and enforcement mechanisms and authorities established therein, the mandatory requirements for high-risk AI systems laid down in this Regulation when adopting any relevant future delegated or implementing acts on the basis of those acts.</t>
  </si>
  <si>
    <t>"Recital(29)"</t>
  </si>
  <si>
    <t>As regards AI systems that are safety components of products, or which are themselves products, falling within the scope of certain Union harmonisation legislation, it is appropriate to classify them as high-risk under this Regulation if the product in question undergoes the conformity assessment procedure with a third-party conformity assessment body pursuant to that relevant Union harmonisation legislation. In particular, such products are machinery, toys, lifts, equipment and protective systems intended for use in potentially explosive atmospheres, radio equipment, pressure equipment, recreational craft equipment, cableway installations,&amp;nbsp;appliances burning gaseous fuels, medical devices, and in vitro diagnostic medical devices.</t>
  </si>
  <si>
    <t>"Recital(30)"</t>
  </si>
  <si>
    <t>The classification of an AI system as high-risk pursuant to this Regulation should not necessarily mean that the product whose safety component is the AI system, or the AI system itself as a product, is considered ‘high-risk’ under the criteria established in the relevant Union harmonisation legislation that applies to the product. This is notably the case for Regulation (EU) 2017/745 of the European Parliament and of the Council&lt;/span&gt;&lt;span class="FootnoteReference"&gt; &lt;a class="footnoteRef" id="footnoteref48" href="#footnote48"&gt;47&lt;/a&gt;  and Regulation (EU) 2017/746 of the European Parliament and of the Council&lt;/span&gt;&lt;span class="FootnoteReference"&gt; &lt;a class="footnoteRef" id="footnoteref49" href="#footnote49"&gt;48&lt;/a&gt; , where a third-party conformity assessment is provided for medium-risk and high-risk products.&amp;nbsp;</t>
  </si>
  <si>
    <t>"Recital(31)"</t>
  </si>
  <si>
    <t>As regards stand-alone AI systems, meaning high-risk AI systems other than those that are safety components of products, or which are themselves products, it is appropriate to classify them as high-risk if, in the light of their intended purpose, they pose a high risk of harm to the health and safety or the fundamental rights of persons, taking into account both the severity of the possible harm and its probability of occurrence and they are used in a number of specifically pre-defined areas specified in the Regulation. The identification of those systems is based on the same methodology and criteria envisaged also for any future amendments of the list of high-risk AI systems.</t>
  </si>
  <si>
    <t>"Recital(32)"</t>
  </si>
  <si>
    <t>Technical inaccuracies of AI systems intended for the remote biometric identification of natural persons can lead to biased results and entail discriminatory effects. This is particularly relevant when it comes to age, ethnicity, sex or disabilities. Therefore, ‘real-time’ and ‘post’ remote biometric identification systems should be classified as high-risk. In view of the risks that they pose, both types of remote biometric identification systems should be subject to specific requirements on logging capabilities and human oversight.&amp;nbsp;</t>
  </si>
  <si>
    <t>"Recital(33)"</t>
  </si>
  <si>
    <t>As regards the management and operation of critical infrastructure, it is appropriate to classify as high-risk the AI systems intended to be used as safety components in the management and operation of road traffic and the supply of water, gas, heating and electricity, since their failure or malfunctioning may put at risk the life and health of persons at large scale and lead to appreciable disruptions in the ordinary conduct of social and economic activities.</t>
  </si>
  <si>
    <t>"Recital(34)"</t>
  </si>
  <si>
    <t>AI systems used in education or vocational training, notably for determining access or assigning persons to educational and vocational training institutions or to evaluate persons on tests as part of or as a precondition for their education should be considered high-risk, since they may determine the educational and professional course of a person’s life and therefore affect their ability to secure their livelihood. When improperly designed and used, such systems may violate the right to education and training as well as the right not to be discriminated against and perpetuate historical patterns of discrimination.</t>
  </si>
  <si>
    <t>"Recital(35)"</t>
  </si>
  <si>
    <t>AI systems used in employment, workers management and access to self-employment, notably for the recruitment and selection of persons, for making decisions on promotion and termination and for task allocation, monitoring or evaluation of persons in work-related contractual relationships, should also be classified as high-risk, since those systems may appreciably impact future career prospects and livelihoods of these persons. Relevant work-related contractual relationships should involve employees and persons providing services through platforms as referred to in the Commission Work Programme 2021. Such persons should in principle not be considered users within the meaning of this Regulation. Throughout the recruitment process and in the evaluation, promotion, or retention of persons in work-related contractual relationships, such systems may perpetuate historical patterns of discrimination, for example against women, certain age groups, persons with disabilities, or persons of certain racial or ethnic origins or sexual orientation. AI systems used to monitor the performance and behaviour of these persons may also impact their rights to data protection and privacy.</t>
  </si>
  <si>
    <t>"Recital(36)"</t>
  </si>
  <si>
    <t>Another area in which the use of AI systems deserves special consideration is the access to and enjoyment of certain essential private and public services and benefits necessary for people to fully participate in society or to improve one’s standard of living. In particular, AI systems used to evaluate the credit score or creditworthiness of natural persons should be classified as high-risk AI systems, since they determine those persons’ access to financial resources or essential services such as housing, electricity, and telecommunication services. AI systems used for this purpose may lead to discrimination of persons or groups and perpetuate historical patterns of discrimination, for example based on racial or ethnic origins, disabilities, age, sexual orientation, or create new forms of discriminatory impacts. Considering the very limited scale of the impact and the available alternatives on the market, it is appropriate to exempt AI systems for the purpose of creditworthiness assessment and credit scoring when put into service by small-scale providers for their own use. Natural persons applying for or receiving public assistance benefits and services from public authorities are typically dependent on those benefits and services and in a vulnerable position in relation to the responsible authorities. If AI systems are used for determining whether such benefits and services should be denied, reduced, revoked or reclaimed by authorities, they may have a significant impact on persons’ livelihood and may infringe their fundamental rights, such as the right to social protection, non-discrimination, human dignity or an effective remedy. Those systems should therefore be classified as high-risk. Nonetheless, this Regulation should not hamper the development and use of innovative approaches in the public administration, which would stand to benefit from a wider use of compliant and safe AI systems, provided that those systems do not entail a high risk to legal and natural persons. Finally, AI systems used to dispatch or establish priority in the dispatching of emergency first response services should also be classified as high-risk since they make decisions in very critical situations for the life and health of persons and their property.</t>
  </si>
  <si>
    <t>"Recital(37)"</t>
  </si>
  <si>
    <t>Actions by law enforcement authorities involving certain uses of AI systems are characterised by a significant degree of power imbalance and may lead to surveillance, arrest or deprivation of a natural person’s liberty as well as other adverse impacts on fundamental rights guaranteed in the Charter. In particular, if the AI system is not trained with high quality data, does not meet adequate requirements in terms of its accuracy or robustness, or is not properly designed and tested before being put on the market or otherwise put into service, it may single out people in a discriminatory or otherwise incorrect or unjust manner. Furthermore, the exercise of important procedural fundamental rights, such as the right to an effective remedy and to a fair trial as well as the right of defence and the presumption of innocence, could be hampered, in particular, where such AI systems are not sufficiently transparent, explainable and documented.&amp;nbsp;It is therefore appropriate to classify as high-risk a number of AI systems intended to be used in the law enforcement context where accuracy, reliability and transparency is particularly important to avoid adverse impacts, retain public trust and ensure accountability and effective redress. In view of the nature of the activities in question and the risks relating thereto, those high-risk AI systems should include in particular AI systems intended to be used by law enforcement authorities for individual risk assessments, polygraphs and similar tools or to detect the emotional state of natural person, to detect ‘deep fakes’, for the evaluation of the reliability of evidence in criminal proceedings, for predicting the occurrence or reoccurrence of an actual or potential criminal offence based on profiling of natural persons, or assessing personality traits and characteristics or past criminal behaviour of natural persons or groups, for profiling in the course of detection, investigation or prosecution of criminal offences, as well as for crime analytics regarding natural persons. AI systems specifically intended to be used for administrative proceedings by tax and customs authorities should not be considered high-risk AI systems used by law enforcement authorities for the purposes of prevention, detection, investigation and prosecution of criminal offences.&amp;nbsp;</t>
  </si>
  <si>
    <t>"Recital(38)"</t>
  </si>
  <si>
    <t>AI systems used in migration, asylum and border control management affect people who are often in particularly vulnerable position and who are dependent on the outcome of the actions of the competent public authorities. The accuracy, non-discriminatory nature and transparency of the AI systems used in those contexts are therefore particularly important to guarantee the respect of the fundamental rights of the affected persons, notably their rights to free movement, non-discrimination, protection of private life and personal data, international protection and good administration. It is therefore appropriate to classify as high-risk AI systems intended to be used by the competent public authorities charged with tasks in the fields of migration, asylum and border control management as polygraphs and similar tools or to detect the emotional state of a natural person; for assessing certain risks posed by natural persons entering the territory of a Member State or applying for visa or asylum;&amp;nbsp;for verifying the authenticity of the relevant documents of natural persons; for assisting competent public authorities for the examination of applications for asylum, visa and residence permits and associated complaints with regard to the objective to establish the eligibility of the natural persons applying for a status.&amp;nbsp;AI systems in the area of migration, asylum and border control management covered by this Regulation should comply with the relevant procedural requirements set by the Directive 2013/32/EU of the European Parliament and of the Council&lt;/span&gt;&lt;span class="FootnoteReference"&gt; &lt;a class="footnoteRef" id="footnoteref50" href="#footnote50"&gt;49&lt;/a&gt; , the Regulation (EC) No 810/2009 of the European Parliament and of the Council&lt;/span&gt;&lt;span class="FootnoteReference"&gt; &lt;a class="footnoteRef" id="footnoteref51" href="#footnote51"&gt;50&lt;/a&gt; &amp;nbsp;and other relevant legislation.</t>
  </si>
  <si>
    <t>"Recital(39)"</t>
  </si>
  <si>
    <t>Certain AI systems&amp;nbsp;intended for the administration of justice and democratic processes&amp;nbsp;should be classified as high-risk, considering their potentially significant impact on democracy, rule of law, individual freedoms as well as the right to an effective remedy and to a fair trial. In particular, to address the risks of potential biases, errors and opacity, it is appropriate to qualify as high-risk AI systems intended to assist judicial authorities in researching and interpreting facts and the law and in applying the law to a concrete set of facts. Such qualification should not extend, however, to AI systems intended for purely ancillary administrative activities that do not affect the actual administration of justice in individual cases, such as anonymisation or pseudonymisation of judicial decisions, documents or data, communication between personnel, administrative tasks or allocation of resources.</t>
  </si>
  <si>
    <t>"Recital(40)"</t>
  </si>
  <si>
    <t>The fact that an AI system is classified as high risk under this Regulation should not be interpreted as indicating that the use of the system is necessarily lawful under other acts of Union law or under national law compatible with Union law, such as on the protection of personal data, on the use of polygraphs and similar tools or other systems to detect the emotional state of natural persons. Any such use should continue to occur solely in accordance with the applicable requirements resulting from the Charter and from the applicable acts of secondary Union law and national law. This Regulation should not be understood as providing for the legal ground for processing of personal data, including special categories of personal data, where relevant.&amp;nbsp;</t>
  </si>
  <si>
    <t>"Recital(41)"</t>
  </si>
  <si>
    <t>To mitigate the risks from high-risk AI systems placed or otherwise put into service on the Union market for users and affected persons, certain mandatory requirements should apply, taking into account the intended purpose of the use of the system and according to the risk management system to be established by the provider.</t>
  </si>
  <si>
    <t>"Recital(42)"</t>
  </si>
  <si>
    <t>Requirements should apply to high-risk AI systems as regards the quality of data sets used, technical documentation and record-keeping, transparency and the provision of information to users, human oversight, and robustness, accuracy and cybersecurity. Those requirements are necessary to effectively mitigate the risks for health, safety and fundamental rights, as applicable in the light of the intended purpose of the system, and no other less trade restrictive measures are reasonably available, thus avoiding unjustified restrictions to trade.</t>
  </si>
  <si>
    <t>"Recital(43)"</t>
  </si>
  <si>
    <t>High data quality is essential for the performance of many AI systems, especially when techniques involving the training of models are used, with a view to ensure that the high-risk AI system performs as intended and safely and it does not become the source of discrimination prohibited by Union law. High quality training, validation and testing data sets require the implementation of appropriate data governance and management practices. Training, validation and testing data sets should be sufficiently relevant, representative and free of errors and complete in view of the intended purpose of the system. They should also have the appropriate statistical properties, including as regards the persons or groups of persons on which the high-risk AI system is intended to be used. In particular, training, validation and testing data sets should take into account, to the extent required in the light of their intended purpose, the features, characteristics or elements that are particular to the specific geographical, behavioural or functional setting or context within which the AI system is intended to be used. In order to protect the right of others from the discrimination that might result from the bias in AI systems, the providers shouldbe able to process also special categories of personal data, as a matter of substantial public interest, in order to ensure the bias monitoring, detection and correction in relation to high-risk AI systems.</t>
  </si>
  <si>
    <t>"Recital(44)"</t>
  </si>
  <si>
    <t>For the development of high-risk AI systems, certain actors, such as providers, notified bodies and other relevant entities, such as digital innovation hubs, testing experimentation facilities and researchers, should be able to access and use high quality datasets within their respective fields of activities which are related to this Regulation. European common data spaces established by the Commission and the facilitation of data sharing between businesses and with government in the public interest will be instrumental to provide trustful, accountable and non-discriminatory access to high quality data for the training, validation and testing of AI systems. For example, in health, the European health data space will facilitate non-discriminatory access to health data and the training of artificial intelligence algorithms on those datasets, in a privacy-preserving, secure, timely, transparent and trustworthy manner, and with an appropriate institutional governance. Relevant competent authorities, including sectoral ones, providing or supporting the access to data may also support the provision of high-quality data for the training, validation and testing of AI systems.</t>
  </si>
  <si>
    <t>"Recital(45)"</t>
  </si>
  <si>
    <t>Having information on how high-risk AI systems have been developed and how they perform throughout their lifecycle is essential to verify compliance with the requirements under this Regulation. This requires keeping records and the availability of a technical documentation, containing information which is necessary to assess the compliance of the AI system with the relevant requirements. Such information should include the general characteristics, capabilities and limitations of the system, algorithms, data, training, testing and validation processes used as well as documentation on the relevant risk management system. The technical documentation should be kept up to date.</t>
  </si>
  <si>
    <t>"Recital(46)"</t>
  </si>
  <si>
    <t>To address the opacity that may make certain AI systems incomprehensible to or too complex for natural persons, a certain degree of transparency should be required for high-risk AI systems. Users should be able to interpret the system output and use it appropriately. High-risk AI systems should therefore be accompanied by relevant documentation and instructions of use and include concise and clear information, including in relation to possible risks to fundamental rights and discrimination, where appropriate.</t>
  </si>
  <si>
    <t>"Recital(47)"</t>
  </si>
  <si>
    <t>High-risk AI systems should be designed and developed in such a way that natural persons can oversee their functioning. For this purpose, appropriate human oversight measures should be identified by the provider of the system before its placing on the market or putting into service. In particular, where appropriate, such measures should guarantee that the system is subject to in-built operational constraints that cannot be overridden by the system itself and is responsive to the human operator, and that the natural persons to whom human oversight has been assigned have the necessary competence, training and authority to carry out that role.&amp;nbsp;</t>
  </si>
  <si>
    <t>"Recital(48)"</t>
  </si>
  <si>
    <t>High-risk AI systems should perform consistently throughout their lifecycle and meet an appropriate level of accuracy, robustness and cybersecurity in accordance with the generally acknowledged state of the art. The level of accuracy and accuracy metrics should be communicated to the users.</t>
  </si>
  <si>
    <t>"Recital(49)"</t>
  </si>
  <si>
    <t>The technical robustness is a key requirement for high-risk AI systems. They should be resilient against risks connected to the limitations of the system (e.g. errors, faults, inconsistencies, unexpected situations) as well as against malicious actions that may compromise the security of the AI system and result in harmful or otherwise undesirable behaviour. Failure to protect against these risks could lead to safety impacts or negatively affect the fundamental rights, for example due to erroneous decisions or wrong or biased outputs generated by the AI system.</t>
  </si>
  <si>
    <t>"Recital(50)"</t>
  </si>
  <si>
    <t>Cybersecurity plays a crucial role in ensuring that AI systems are resilient against attempts to alter their use, behaviour, performance or compromise their security properties by malicious third parties exploiting the system’s vulnerabilities. Cyberattacks against AI systems can leverage AI specific assets, such as training data sets (e.g. data poisoning) or trained models (e.g. adversarial attacks), or exploit vulnerabilities in the AI system’s digital assets or the underlying ICT infrastructure. To ensure a level of cybersecurity appropriate to the risks, suitable measures should therefore be taken by the providers of high-risk AI systems, also taking into account as appropriate the underlying ICT infrastructure.</t>
  </si>
  <si>
    <t>"Recital(51)"</t>
  </si>
  <si>
    <t>As part of Union harmonisation legislation, rules applicable to the placing on the market, putting into service and use of high-risk AI systems should be laid down consistently with Regulation (EC) No 765/2008 of the European Parliament and of the Council&lt;/span&gt;&lt;span class="FootnoteReference"&gt; &lt;a class="footnoteRef" id="footnoteref52" href="#footnote52"&gt;51&lt;/a&gt;  setting out the requirements for accreditation and the market surveillance of products, Decision No 768/2008/EC of the European Parliament and of the Council&lt;/span&gt;&lt;span class="FootnoteReference"&gt; &lt;a class="footnoteRef" id="footnoteref53" href="#footnote53"&gt;52&lt;/a&gt;  on a common framework for the marketing of products and Regulation (EU) 2019/1020 of the European Parliament and of the Council&lt;/span&gt;&lt;span class="FootnoteReference"&gt; &lt;a class="footnoteRef" id="footnoteref54" href="#footnote54"&gt;53&lt;/a&gt;  on market surveillance and compliance of products (‘New Legislative Framework for the marketing of products’).</t>
  </si>
  <si>
    <t>"Recital(52)"</t>
  </si>
  <si>
    <t>It is appropriate that a specific natural or legal person, defined as the provider, takes the responsibility for the placing on the market or putting into service of a high-risk AI system, regardless of whether that natural or legal person is the person who designed or developed the system.</t>
  </si>
  <si>
    <t>"Recital(53)"</t>
  </si>
  <si>
    <t>The provider should establish a sound quality management system, ensure the accomplishment of the required conformity assessment procedure, draw up the relevant documentation and establish a robust post-market monitoring system. Public authorities which put into service high-risk AI systems for their own use may adopt and implement the rules for the quality management system as part of the quality management system adopted at a national or regional level, as appropriate, taking into account the specificities of the sector and the competences and organisation of the public authority in question.</t>
  </si>
  <si>
    <t>"Recital(54)"</t>
  </si>
  <si>
    <t>Where a high-risk AI system that is a safety component of a product which is covered by a relevant New Legislative Framework sectorial legislation is not placed on the market or put into service independently from the product, the manufacturer of the final product as defined under the relevant New Legislative Framework legislation should comply with the obligations of the provider established in this Regulation and notably ensure that the AI system embedded in the final product complies with the requirements of this Regulation.</t>
  </si>
  <si>
    <t>"Recital(55)"</t>
  </si>
  <si>
    <t>To enable enforcement of this Regulation and create a level-playing field for operators, and taking into account the different forms of making available of digital products, it is important to ensure that, under all circumstances, a person established in the Union can provide authorities with all the necessary information on the compliance of an AI system. Therefore, prior to making their AI systems available in the Union, where an importer cannot be identified, providers established outside the Union shall, by written mandate, appoint an authorised representative established in the Union.</t>
  </si>
  <si>
    <t>"Recital(56)"</t>
  </si>
  <si>
    <t>In line with New Legislative Framework principles, specific obligations for relevant economic operators, such as importers and distributors, should be set to ensure legal certainty and facilitate regulatory compliance by those relevant operators.</t>
  </si>
  <si>
    <t>"Recital(57)"</t>
  </si>
  <si>
    <t>Given the nature of AI systems and the risks to safety and fundamental rights possibly associated with their use, including as regard the need to ensure proper monitoring of the performance of an AI system in a real-life setting, it is appropriate to set specific responsibilities for users. Users should in particular use high-risk AI systems in accordance with the instructions of use and certain other obligations should be provided for with regard to monitoring of the functioning of the AI systems and with regard to record-keeping, as appropriate.&amp;nbsp;</t>
  </si>
  <si>
    <t>"Recital(58)"</t>
  </si>
  <si>
    <t>It is appropriate to envisage that the user of the AI system should be the natural or legal person, public authority, agency or other body under whose authority the AI system is operated except where the use is made in the course of a personal non-professional activity.</t>
  </si>
  <si>
    <t>"Recital(59)"</t>
  </si>
  <si>
    <t>In the light of the complexity of the artificial intelligence value chain, relevant third parties, notably the ones involved in the sale and the supply of software, software tools and components, pre-trained models and data, or providers of network services, should cooperate, as appropriate, with providers and users to enable their compliance with the obligations under this Regulation and with competent authorities established under this Regulation.</t>
  </si>
  <si>
    <t>"Recital(60)"</t>
  </si>
  <si>
    <t>Standardisation should play a key role to provide technical solutions to providers to ensure compliance with this Regulation. Compliance with harmonised standards as defined in Regulation (EU) No 1025/2012 of the European Parliament and of the Council&lt;/span&gt;&lt;span class="FootnoteReference"&gt; &lt;a class="footnoteRef" id="footnoteref55" href="#footnote55"&gt;54&lt;/a&gt;  should be a means for providers to demonstrate conformity with the requirements of this Regulation. However, the Commission could adopt common technical specifications in areas where no harmonised standards exist or where they are insufficient.&amp;nbsp;</t>
  </si>
  <si>
    <t>"Recital(61)"</t>
  </si>
  <si>
    <t>In order to ensure a high level of trustworthiness of high-risk AI systems, those systems should be subject to a conformity assessment prior to their placing on the market or putting into service.</t>
  </si>
  <si>
    <t>"Recital(62)"</t>
  </si>
  <si>
    <t>It is appropriate that, in order to minimise the burden on operators and avoid any possible duplication, for high-risk AI systems related to products which are covered by existing Union harmonisation legislation following the New Legislative Framework approach, the compliance of those AI systems with the requirements of this Regulation should be assessed as part of the conformity assessment already foreseen under that legislation. The applicability of the requirements of this Regulation should thus not affect the specific logic, methodology or general structure of conformity assessment under the relevant specific New Legislative Framework legislation. This approach is fully reflected in the interplay between this Regulation and the [Machinery Regulation]. While safety risks of AI systems ensuring safety functions in machinery are addressed by the requirements of this Regulation, certain specific requirements in the [Machinery Regulation] will ensure the safe integration of the AI system into the overall machinery, so as not to compromise the safety of the machinery as a whole. The [Machinery Regulation] applies the same definition of AI system as this Regulation.</t>
  </si>
  <si>
    <t>"Recital(63)"</t>
  </si>
  <si>
    <t>Given the more extensive experience of professional pre-market certifiers in the field of product safety and the different nature of risks involved, it is appropriate to limit, at least in an initial phase of application of this Regulation, the scope of application of third-party conformity assessment for high-risk AI systems other than those related to products. Therefore, the conformity assessment of such systems should be carried out as a general rule by the provider under its own responsibility, with the only exception of AI systems intended to be used for the remote biometric identification of persons, for which the involvement of a notified body in the conformity assessment should be foreseen, to the extent they are not prohibited.</t>
  </si>
  <si>
    <t>"Recital(64)"</t>
  </si>
  <si>
    <t>In order to carry out third-party conformity assessment for AI systems intended to be used for the remote biometric identification of persons, notified bodies should be designated under this Regulation by the national competent authorities, provided they are compliant with a set of requirements, notably on independence, competence and absence of conflicts of interests.</t>
  </si>
  <si>
    <t>"Recital(65)"</t>
  </si>
  <si>
    <t>In line with the commonly established notion of substantial modification for products regulated by Union harmonisation legislation, it is appropriate that an AI system undergoes a new conformity assessment whenever a change occurs which may affect the compliance of the system with this Regulation or when the intended purpose of the system changes. In addition, as regards AI systems which continue to ‘learn’ after being placed on the market or put into service (i.e. they automatically adapt how functions are carried out), it is necessary to provide rules establishing that changes to the algorithm and its performance that have been pre-determined by the provider and assessed at the moment of the conformity assessment should not constitute a substantial modification.&amp;nbsp;</t>
  </si>
  <si>
    <t>"Recital(66)"</t>
  </si>
  <si>
    <t>High-risk AI systems should bear the CE marking to indicate their conformity with this Regulation so that they can move freely within the internal market. Member States should not create unjustified obstacles to the placing on the market or putting into service of high-risk AI systems that comply with the requirements laid down in this Regulation and bear the CE marking.</t>
  </si>
  <si>
    <t>"Recital(67)"</t>
  </si>
  <si>
    <t>Under certain conditions, rapid availability of innovative technologies may be crucial for health and safety of persons and for society as a whole. It is thus appropriate that under exceptional reasons of public security or protection of life and health of natural persons and the protection of industrial and commercial property, Member States could authorise the placing on the market or putting into service of AI systems which have not undergone a conformity assessment.</t>
  </si>
  <si>
    <t>"Recital(68)"</t>
  </si>
  <si>
    <t>In order to facilitate the work of the Commission and the Member States in the artificial intelligence field as well as to increase the transparency towards the public, providers of high-risk AI systems other than those related to products falling within the scope of relevant existing Union harmonisation legislation, should be required to register their high-risk AI system in a EU database, to be established and managed by the Commission. The Commission should be the controller of that database, in accordance with Regulation (EU) 2018/1725 of the European Parliament and of the Council&lt;/span&gt;&lt;span class="FootnoteReference"&gt; &lt;a class="footnoteRef" id="footnoteref56" href="#footnote56"&gt;55&lt;/a&gt; . In order to ensure the full functionality of the database, when deployed, the procedure for setting the database should include the elaboration of functional specifications by the Commission and an independent audit report.&amp;nbsp;</t>
  </si>
  <si>
    <t>"Recital(69)"</t>
  </si>
  <si>
    <t>Certain AI systems intended to interact with natural persons or to generate content may pose specific risks of impersonation or deception irrespective of whether they qualify as high-risk or not. In certain circumstances, the use of these systems should therefore be subject to specific transparency obligations without prejudice to the requirements and obligations for high-risk AI systems. In particular, natural persons should be notified that they are interacting with an AI system, unless this is obvious from the circumstances and the context of use. Moreover, natural persons should be notified when they are exposed to an emotion recognition system or a biometric categorisation system. Such information and notifications should be provided in accessible formats for persons with disabilities. Further, users, who use an AI system to generate or manipulate image, audio or video content that appreciably resembles existing persons, places or events and would falsely appear to a person to be authentic, should disclose that the content has been artificially created or manipulated by labelling the artificial intelligence output accordingly and disclosing its artificial origin.</t>
  </si>
  <si>
    <t>"Recital(70)"</t>
  </si>
  <si>
    <t>Artificial intelligence is a rapidly developing family of technologies that requires novel forms of regulatory oversight and a safe space for experimentation, while ensuring responsible innovation and integration of appropriate safeguards and risk mitigation measures. To ensure a legal framework that is innovation-friendly, future-proof and resilient to disruption, national competent authorities from one or more Member States should be encouraged to establish artificial intelligence regulatory sandboxes to facilitate the development and testing of innovative AI systems under strict regulatory oversight before these systems are placed on the market or otherwise put into service.</t>
  </si>
  <si>
    <t>"Recital(71)"</t>
  </si>
  <si>
    <t>The objectives of the regulatory sandboxes should be to foster AI innovation by establishing a controlled experimentation and testing environment in the development and pre-marketing phase with a view to ensuring compliance of the innovative AI systems with this Regulation and other relevant Union and Member States legislation; to enhance legal certainty for innovators and the competent authorities’ oversight and understanding of the opportunities, emerging risks and the impacts of AI use, and to accelerate access to markets, including by removing barriers for small and medium enterprises (SMEs) and start-ups. To ensure uniform implementation across the Union and economies of scale, it is appropriate to establish common rules for the regulatory sandboxes’ implementation and a framework for cooperation between the relevant authorities involved in the supervision of the sandboxes. This Regulation should provide the legal basis for the use of personal data collected for other purposes for developing certain AI systems in the public interest within the AI regulatory sandbox, in line with Article 6(4) of Regulation (EU) 2016/679, and Article 6 of Regulation (EU) 2018/1725, and without prejudice to Article 4(2) of Directive (EU) 2016/680. Participants in the sandbox should ensure appropriate safeguards and cooperate with the competent authorities, including by following their guidance and acting expeditiously and in good faith to mitigate any high-risks to safety and fundamental rights that may arise during the development and experimentation in the sandbox. The conduct of the participants in the sandbox should be taken into account when competent authorities decide whether to impose an administrative fine under Article 83(2) of Regulation 2016/679 and Article 57 of Directive 2016/680.</t>
  </si>
  <si>
    <t>"Recital(72)"</t>
  </si>
  <si>
    <t>In order to promote and protect innovation, it is important that the interests of small-scale providers and users of AI systems are taken into particular account. To this objective, Member States should develop initiatives, which are targeted at those operators, including on awareness raising and information communication. Moreover, the specific interests and needs of small-scale providers shall be taken into account when Notified Bodies set conformity assessment fees. Translation costs related to mandatory documentation and communication with authorities may constitute a significant cost for providers and other operators, notably those of a smaller scale. Member States should possibly ensure that one of the languages determined and accepted by them for relevant providers’ documentation and for communication with operators is one which is broadly understood by the largest possible number of cross-border users.</t>
  </si>
  <si>
    <t>"Recital(73)"</t>
  </si>
  <si>
    <t>In order to minimise the risks to implementation resulting from lack of knowledge and expertise in the market as well as to facilitate compliance of providers and notified bodies with their obligations under this Regulation, the AI-on demand platform, the European Digital Innovation Hubs and the Testing and Experimentation Facilities established by the Commission and the Member States at national or EU level should possibly contribute to the implementation of this Regulation. Within their respective mission and fields of competence, they may provide in particular technical and scientific support to providers and notified bodies.</t>
  </si>
  <si>
    <t>"Recital(74)"</t>
  </si>
  <si>
    <t>It is appropriate that the Commission facilitates, to the extent possible, access to Testing and Experimentation Facilities to bodies, groups or laboratories established or accredited pursuant to any relevant Union harmonisation legislation and which fulfil tasks in the context of conformity assessment of products or devices covered by that Union harmonisation legislation. This is notably the case for expert panels, expert laboratories and reference laboratories in the field of medical devices pursuant to Regulation (EU) 2017/745 and Regulation (EU) 2017/746.</t>
  </si>
  <si>
    <t>"Recital(75)"</t>
  </si>
  <si>
    <t>In order to facilitate a smooth, effective and harmonised implementation of this Regulation a European Artificial Intelligence Board should be established. The Board should be responsible for a number of advisory tasks, including issuing opinions, recommendations, advice or guidance on matters related to the implementation of this Regulation, including on technical specifications or existing standards regarding the requirements established in this Regulation and providing advice to and assisting the Commission on specific questions related to artificial intelligence.</t>
  </si>
  <si>
    <t>"Recital(76)"</t>
  </si>
  <si>
    <t>Member States hold a key role in the application and enforcement of this Regulation. In this respect, each Member State should designate one or more national competent authorities for the purpose of supervising the application and implementation of this Regulation. In order to increase organisation efficiency on the side of Member States and to set an official point of contact vis-à-vis the public and other counterparts at Member State and Union levels, in each Member State one national authority should be designated as national supervisory authority.</t>
  </si>
  <si>
    <t>"Recital(77)"</t>
  </si>
  <si>
    <t>In order to ensure that providers of high-risk AI systems can take into account the experience on the use of high-risk AI systems for improving their systems and the design and development process or can take any possible corrective action in a timely manner, all providers should have a post-market monitoring system in place. This system is also key to ensure that the possible risks emerging from AI systems which continue to ‘learn’ after being placed on the market or put into service can be more efficiently and timely addressed. In this context, providers should also be required to have a system in place to report to the relevant authorities any serious incidents or any breaches to national and Union law protecting fundamental rights resulting from the use of their AI systems.&amp;nbsp;</t>
  </si>
  <si>
    <t>"Recital(78)"</t>
  </si>
  <si>
    <t>In order to ensure an appropriate and effective enforcement of the requirements and obligations set out by this Regulation, which is Union harmonisation legislation, the system of market surveillance and compliance of products established by Regulation (EU) 2019/1020 should apply in its entirety. Where necessary for their mandate, national public authorities or bodies, which supervise the application of Union law protecting fundamental rights, including equality bodies, should also have access to any documentation created under this Regulation.</t>
  </si>
  <si>
    <t>"Recital(79)"</t>
  </si>
  <si>
    <t>Union legislation on financial services includes internal governance and risk management rules and requirements which are applicable to regulated financial institutions in the course of provision of those services, including when they make use of AI systems. In order to ensure coherent application and enforcement of the obligations under this Regulation and relevant rules and requirements of the Union financial services legislation, the authorities responsible for the supervision and enforcement of the financial services legislation,&amp;nbsp;including where applicable the European Central Bank, should be designated as competent authorities for the purpose of supervising the implementation of this Regulation, including for market surveillance activities, as regards AI systems provided or used by regulated and supervised financial institutions. To further enhance the consistency between this Regulation and the rules applicable to credit institutions regulated under Directive 2013/36/EU of the European Parliament and of the Council&lt;/span&gt;&lt;span class="FootnoteReference"&gt; &lt;a class="footnoteRef" id="footnoteref57" href="#footnote57"&gt;56&lt;/a&gt; , it is also appropriate to integrate the conformity assessment procedure and some of the providers’ procedural obligations in relation to risk management, post marketing monitoring and documentation into the existing obligations and procedures under Directive 2013/36/EU. In order to avoid overlaps, limited derogations should also be envisaged in relation to the quality management system of providers and the monitoring obligation placed on users of high-risk AI systems to the extent that these apply to credit institutions regulated by Directive 2013/36/EU.</t>
  </si>
  <si>
    <t>"Recital(80)"</t>
  </si>
  <si>
    <t>The development of AI systems other than high-risk AI systems in accordance with the requirements of this Regulation may lead to a larger uptake of trustworthy artificial intelligence in the Union. Providers of non-high-risk AI systems should be encouraged to create codes of conduct intended to foster the voluntary application of the mandatory requirements applicable to high-risk AI systems. Providers should also be encouraged to apply on a voluntary basis additional requirements related, for example, to environmental sustainability, accessibility to persons with disability, stakeholders’ participation in the design and development of AI systems, and diversity of the development teams. The Commission may develop initiatives, including of a sectorial nature, to facilitate the lowering of technical barriers hindering cross-border exchange of data for AI development, including on data access infrastructure, semantic and technical interoperability of different types of data.</t>
  </si>
  <si>
    <t>"Recital(81)"</t>
  </si>
  <si>
    <t>It is important that AI systems related to products that are not high-risk in accordance with this Regulation and thus are not required to comply with the requirements set out herein are nevertheless safe when placed on the market or put into service. To contribute to this objective,&amp;nbsp;the Directive 2001/95/EC of the European Parliament and of the Council&lt;/span&gt;&lt;span class="FootnoteReference"&gt; &lt;a class="footnoteRef" id="footnoteref58" href="#footnote58"&gt;57&lt;/a&gt; &amp;nbsp; would apply as a safety net.</t>
  </si>
  <si>
    <t>"Recital(82)"</t>
  </si>
  <si>
    <t>In order to ensure trustful and constructive cooperation of competent authorities on Union and national level, all parties involved in the application of this Regulation should respect the confidentiality of information and data obtained in carrying out their tasks.</t>
  </si>
  <si>
    <t>"Recital(83)"</t>
  </si>
  <si>
    <t>Member States should take all necessary measures to ensure that the provisions of this Regulation are implemented, including by laying down effective, proportionate and dissuasive penalties for their infringement. For certain specific infringements, Member States should take into account the margins and criteria set out in this Regulation. The European Data Protection Supervisor should have the power to impose fines on Union institutions, agencies and bodies falling within the scope of this Regulation.</t>
  </si>
  <si>
    <t>"Recital(84)"</t>
  </si>
  <si>
    <t>In order to ensure that the regulatory framework can be adapted where necessary, the power to adopt acts in accordance with Article 290 TFEU should be delegated to the Commission to amend the techniques and approaches referred to in Annex I to define AI systems, the Union harmonisation legislation listed in Annex II, the high-risk AI systems listed in Annex III, the provisions regarding technical documentation listed in Annex IV, the content of the EU declaration of conformity in Annex V, the provisions regarding the conformity assessment procedures in Annex VI and VII and the provisions establishing the high-risk AI systems to which the conformity assessment procedure based on assessment of the quality management system and assessment of the technical documentation should apply. It is of particular importance that the Commission carry out appropriate consultations during its preparatory work, including at expert level, and that those consultations be conducted in accordance with the principles laid down in the Interinstitutional Agreement of 13 April 2016 on Better Law-Making&lt;/span&gt;&lt;span class="FootnoteReference"&gt; &lt;a class="footnoteRef" id="footnoteref59" href="#footnote59"&gt;58&lt;/a&gt; . In particular, to ensure equal participation in the preparation of delegated acts, the European Parliament and the Council receive all documents at the same time as Member States’ experts, and their experts systematically have access to meetings of Commission expert groups dealing with the preparation of delegated acts.</t>
  </si>
  <si>
    <t>"Recital(85)"</t>
  </si>
  <si>
    <t>In order to ensure uniform conditions for the implementation of this Regulation, implementing powers should be conferred on the Commission. Those powers should be exercised in accordance with Regulation (EU) No 182/2011 of the European Parliament and of the Council&lt;/span&gt;&lt;span class="FootnoteReference"&gt; &lt;a class="footnoteRef" id="footnoteref60" href="#footnote60"&gt;59&lt;/a&gt; .</t>
  </si>
  <si>
    <t>"Recital(86)"</t>
  </si>
  <si>
    <t>Since the objective of this Regulation cannot be sufficiently achieved by the Member States and can rather, by reason of the scale or effects of the action, be better achieved at Union level, the Union may adopt measures in accordance with the principle of subsidiarity as set out in Article 5 TEU. In accordance with the principle of proportionality as set out in that Article, this Regulation does not go beyond what is necessary in order to achieve that objective.</t>
  </si>
  <si>
    <t>"Recital(87)"</t>
  </si>
  <si>
    <t>This Regulation should apply from … OP – please insert the date established in Art. 85]. However, the infrastructure related to the governance and the conformity assessment system should be operational before that date, therefore the provisions on notified bodies and governance structure should apply from … OP – please insert the date – three months following the entry into force of this Regulation]. In addition, Member States should lay down and notify to the Commission the rules on penalties, including administrative fines, and ensure that they are properly and effectively implemented by the date of application of this Regulation. Therefore the provisions on penalties should apply from OP – please insert the date – twelve months following the entry into force of this Regulation].</t>
  </si>
  <si>
    <t>"Recital(88)"</t>
  </si>
  <si>
    <t>The European Data Protection Supervisor and the European Data Protection Board were consulted in accordance with Article 42(2) of Regulation (EU) 2018/1725 and delivered an opinion on […]”.</t>
  </si>
  <si>
    <t>"Recital(89)"</t>
  </si>
  <si>
    <t>ANNEX I</t>
  </si>
  <si>
    <t>referred to in Article 3, point 1</t>
  </si>
  <si>
    <t>n/a</t>
  </si>
  <si>
    <t>Machine learning approaches, including supervised, unsupervised and reinforcement learning, using a wide variety of methods including deep learning;</t>
  </si>
  <si>
    <t>Logic- and knowledge-based approaches, including knowledge representation, inductive (logic) programming, knowledge bases, inference and deductive engines, (symbolic) reasoning and expert systems;</t>
  </si>
  <si>
    <t>Statistical approaches, Bayesian estimation, search and optimization methods.</t>
  </si>
  <si>
    <t>ANNEX II</t>
  </si>
  <si>
    <t>Section A – List of Union harmonisation legislation based on the New Legislative Framework</t>
  </si>
  <si>
    <t>Directive 2006/42/EC of the European Parliament and of the Council of 17 May 2006 on machinery, and amending Directive 95/16/EC (OJ L 157, 9.6.2006, p. 24) [as repealed by the Machinery Regulation];</t>
  </si>
  <si>
    <t>Directive 2009/48/EC of the European Parliament and of the Council of 18 June 2009 on the safety of toys (OJ L 170, 30.6.2009, p. 1);</t>
  </si>
  <si>
    <t>Directive 2013/53/EU of the European Parliament and of the Council of 20 November 2013 on recreational craft and personal watercraft and repealing Directive 94/25/EC (OJ L 354, 28.12.2013, p. 90);</t>
  </si>
  <si>
    <t>Directive 2014/33/EU of the European Parliament and of the Council of 26 February 2014 on the harmonisation of the laws of the Member States relating to lifts and safety components for lifts (OJ L 96, 29.3.2014, p. 251);</t>
  </si>
  <si>
    <t>Directive 2014/34/EU of the European Parliament and of the Council of 26 February 2014 on the harmonisation of the laws of the Member States relating to equipment and protective systems intended for use in potentially explosive atmospheres (OJ L 96, 29.3.2014, p. 309);</t>
  </si>
  <si>
    <t>Directive 2014/53/EU of the European Parliament and of the Council of 16 April 2014 on the harmonisation of the laws of the Member States relating to the making available on the market of radio equipment and repealing Directive 1999/5/EC (OJ L 153, 22.5.2014, p. 62);</t>
  </si>
  <si>
    <t>Directive 2014/68/EU of the European Parliament and of the Council of 15 May 2014 on the harmonisation of the laws of the Member States relating to the making available on the market of pressure equipment (OJ L 189, 27.6.2014, p. 164);</t>
  </si>
  <si>
    <t>Regulation (EU) 2016/424 of the European Parliament and of the Council of 9 March 2016 on cableway installations and repealing Directive 2000/9/EC (OJ L 81, 31.3.2016, p. 1);</t>
  </si>
  <si>
    <t>Regulation (EU) 2016/425 of the European Parliament and of the Council of 9 March 2016 on personal protective equipment and repealing Council Directive 89/686/EEC (OJ L 81, 31.3.2016, p. 51);</t>
  </si>
  <si>
    <t>Regulation (EU) 2016/426 of the European Parliament and of the Council of 9 March 2016 on appliances burning gaseous fuels and repealing Directive 2009/142/EC (OJ L 81, 31.3.2016, p. 99);</t>
  </si>
  <si>
    <t>Regulation (EU) 2017/745 of the European Parliament and of the Council of 5 April 2017 on medical devices, amending Directive 2001/83/EC, Regulation (EC) No 178/2002 and Regulation (EC) No 1223/2009 and repealing Council Directives 90/385/EEC and 93/42/EEC (OJ L 117, 5.5.2017, p. 1;</t>
  </si>
  <si>
    <t>Regulation (EU) 2017/746 of the European Parliament and of the Council of 5 April 2017 on in vitro diagnostic medical devices and repealing Directive 98/79/EC and Commission Decision 2010/227/EU (OJ L 117, 5.5.2017, p. 176).</t>
  </si>
  <si>
    <t>Section B. List of other Union harmonisation legislation</t>
  </si>
  <si>
    <t>Regulation (EC) No 300/2008 of the European Parliament and of the Council of 11 March 2008 on common rules in the field of civil aviation security and repealing Regulation (EC) No 2320/2002 (OJ L 97, 9.4.2008, p. 72).</t>
  </si>
  <si>
    <t>Regulation (EU) No 168/2013 of the European Parliament and of the Council of 15 January 2013 on the approval and market surveillance of two- or three-wheel vehicles and quadricycles (OJ L 60, 2.3.2013, p. 52);</t>
  </si>
  <si>
    <t>Regulation (EU) No 167/2013 of the European Parliament and of the Council of 5 February 2013 on the approval and market surveillance of agricultural and forestry vehicles (OJ L 60, 2.3.2013, p. 1);</t>
  </si>
  <si>
    <t>Directive 2014/90/EU of the European Parliament and of the Council of 23 July 2014 on marine equipment and repealing Council Directive 96/98/EC (OJ L 257, 28.8.2014, p. 146);</t>
  </si>
  <si>
    <t>Directive (EU) 2016/797 of the European Parliament and of the Council of 11 May 2016 on the interoperability of the rail system within the European Union (OJ L 138, 26.5.2016, p. 44).</t>
  </si>
  <si>
    <t>Regulation (EU) 2018/858 of the European Parliament and of the Council of 30 May 2018 on the approval and market surveillance of motor vehicles and their trailers, and of systems, components and separate technical units intended for such vehicles, amending Regulations (EC) No 715/2007 and (EC) No 595/2009 and repealing Directive 2007/46/EC (OJ L 151, 14.6.2018, p. 1); 3. Regulation (EU) 2019/2144 of the European Parliament and of the Council of 27 November 2019 on type-approval requirements for motor vehicles and their trailers, and systems, components and separate technical units intended for such vehicles, as regards their general safety and the protection of vehicle occupants and vulnerable road users, amending Regulation (EU) 2018/858 of the European Parliament and of the Council and repealing Regulations (EC) No 78/2009, (EC) No 79/2009 and (EC) No 661/2009 of the European Parliament and of the Council and Commission Regulations (EC) No 631/2009, (EU) No 406/2010, (EU) No 672/2010, (EU) No 1003/2010, (EU) No 1005/2010, (EU) No 1008/2010, (EU) No 1009/2010, (EU) No 19/2011, (EU) No 109/2011, (EU) No 458/2011, (EU) No 65/2012, (EU) No 130/2012, (EU) No 347/2012, (EU) No 351/2012, (EU) No 1230/2012 and (EU) 2015/166 (OJ L 325, 16.12.2019, p. 1);</t>
  </si>
  <si>
    <t>Regulation (EU) 2018/1139 of the European Parliament and of the Council of 4 July 2018 on common rules in the field of civil aviation and establishing a European Union Aviation Safety Agency, and amending Regulations (EC) No 2111/2005, (EC) No 1008/2008, (EU) No 996/2010, (EU) No 376/2014 and Directives 2014/30/EU and 2014/53/EU of the European Parliament and of the Council, and repealing Regulations (EC) No 552/2004 and (EC) No 216/2008 of the European Parliament and of the Council and Council Regulation (EEC) No 3922/91 (OJ L 212, 22.8.2018, p. 1), in so far as the design, production and placing on the market of aircrafts referred to in points (a) and (b) of Article 2(1) thereof, where it concerns unmanned aircraft and their engines, propellers, parts and equipment to control them remotely, are concerned.</t>
  </si>
  <si>
    <t>ANNEX III</t>
  </si>
  <si>
    <t>HIGH-RISK AI SYSTEMS REFERRED TO IN ARTICLE 6(2)</t>
  </si>
  <si>
    <t>Biometric identification and categorisation of natural persons:</t>
  </si>
  <si>
    <t>AI systems intended to be used for the ‘real-time’ and ‘post’ remote biometric identification of natural persons;</t>
  </si>
  <si>
    <t>Management and operation of critical infrastructure:</t>
  </si>
  <si>
    <t>AI systems intended to be used as safety components in the management and operation of road traffic and the supply of water, gas, heating and electricity.</t>
  </si>
  <si>
    <t>Education and vocational training:</t>
  </si>
  <si>
    <t>AI systems intended to be used for the purpose of determining access or assigning natural persons to educational and vocational training institutions;</t>
  </si>
  <si>
    <t>AI systems intended to be used for the purpose of assessing students in educational and vocational training institutions and for assessing participants in tests commonly required for admission to educational institutions.</t>
  </si>
  <si>
    <t>Employment, workers management</t>
  </si>
  <si>
    <t>AI systems intended to be used for recruitment or selection of natural persons, notably for advertising vacancies, screening or filtering applications, evaluating candidates in the course of interviews or tests;</t>
  </si>
  <si>
    <t>AI intended to be used for making decisions on promotion and termination of work-related contractual relationships, for task allocation and for monitoring and evaluating performance and behavior of persons in such relationships.</t>
  </si>
  <si>
    <t>Access to and enjoyment of essential private services and public services and benefits:</t>
  </si>
  <si>
    <t>AI systems intended to be used by public authorities or on behalf of public authorities to evaluate the eligibility of natural persons for public assistance benefits and services, as well as to grant, reduce, revoke, or reclaim such benefits and services;</t>
  </si>
  <si>
    <t>AI systems intended to be used to evaluate the creditworthiness of natural persons or establish their credit score, with the exception of AI systems put into service by small scale providers for their own use;</t>
  </si>
  <si>
    <t>AI systems intended to be used to dispatch, or to establish priority in the dispatching of emergency first response services, including by firefighters and medical aid.</t>
  </si>
  <si>
    <t>Law enforcement:</t>
  </si>
  <si>
    <t>AI systems intended to be used by law enforcement authorities for making individual risk assessments of natural persons in order to assess the risk of a natural person for offending or reoffending or the risk for potential victims of criminal offences;</t>
  </si>
  <si>
    <t>AI systems intended to be used by law enforcement authorities as polygraphs and similar tools or to detect the emotional state of a natural person;</t>
  </si>
  <si>
    <t>AI systems intended to be used by law enforcement authorities to detect deep fakes as referred to in article 52(3);</t>
  </si>
  <si>
    <t>AI systems intended to be used by law enforcement authorities for evaluation of the reliability of evidence in the course of investigation or prosecution of criminal offences;</t>
  </si>
  <si>
    <t>AI systems intended to be used by law enforcement authorities for predicting the occurrence or reoccurrence of an actual or potential criminal offence based on profiling of natural persons as referred to in Article 3(4) of Directive (EU) 2016/680 or assessing personality traits and characteristics or past criminal behaviour of natural persons or groups;</t>
  </si>
  <si>
    <t>AI systems intended to be used by law enforcement authorities for profiling of natural persons as referred to in Article 3(4) of Directive (EU) 2016/680 in the course of detection, investigation or prosecution of criminal offences;</t>
  </si>
  <si>
    <t>AI systems intended to be used for crime analytics regarding natural persons, allowing law enforcement authorities to search complex related and unrelated large data sets available in different data sources or in different data formats in order to identify unknown patterns or discover hidden relationships in the data.</t>
  </si>
  <si>
    <t>Migration, asylum and border control management:</t>
  </si>
  <si>
    <t>AI systems intended to be used by competent public authorities as polygraphs and similar tools or to detect the emotional state of a natural person;</t>
  </si>
  <si>
    <t>AI systems intended to be used by competent public authorities to assess a risk, including a security risk, a risk of irregular immigration, or a health risk, posed by a natural person who intends to enter or has entered into the territory of a Member State;</t>
  </si>
  <si>
    <t>AI systems intended to be used by competent public authorities for the verification of the authenticity of travel documents and supporting documentation of natural persons and detect non-authentic documents by checking their security features;</t>
  </si>
  <si>
    <t>AI systems intended to assist competent public authorities for the examination of applications for asylum, visa and residence permits and associated complaints with regard to the eligibility of the natural persons applying for a status.</t>
  </si>
  <si>
    <t>Administration of justice and democratic processes:</t>
  </si>
  <si>
    <t>AI systems intended to assist a judicial authority in researching and interpreting facts and the law and in applying the law to a concrete set of facts.</t>
  </si>
  <si>
    <t>ANNEX IV</t>
  </si>
  <si>
    <t>TECHNICAL DOCUMENTATION referred to in Article 11(1)</t>
  </si>
  <si>
    <t>A general description of the AI system including:</t>
  </si>
  <si>
    <t>its intended purpose, the person/s developing the system the date and the version of the system;</t>
  </si>
  <si>
    <t>how the AI system interacts or can be used to interact with hardware or software that is not part of the AI system itself, where applicable;</t>
  </si>
  <si>
    <t>the versions of relevant software or firmware and any requirement related to version update;</t>
  </si>
  <si>
    <t>the description of all forms in which the AI system is placed on the market or put into service;</t>
  </si>
  <si>
    <t>the description of hardware on which the AI system is intended to run;</t>
  </si>
  <si>
    <t>where the AI system is a component of products, photographs or illustrations showing external features, marking and internal layout of those products;</t>
  </si>
  <si>
    <t>instructions of use for the user and, where applicable installation instructions;</t>
  </si>
  <si>
    <t>A detailed description of the elements of the AI system and of the process for its development, including:</t>
  </si>
  <si>
    <t>the methods and steps performed for the development of the AI system, including, where relevant, recourse to pre-trained systems or tools provided by third parties and how these have been used, integrated or modified by the provider;</t>
  </si>
  <si>
    <t>the design specifications of the system, namely the general logic of the AI system and of the algorithms; the key design choices including the rationale and assumptions made, also with regard to persons or groups of persons on which the system is intended to be used; the main classification choices; what the system is designed to optimise for and the relevance of the different parameters; the decisions about any possible trade-off made regarding the technical solutions adopted to comply with the requirements set out in Title III, Chapter 2;</t>
  </si>
  <si>
    <t>the description of the system architecture explaining how software components build on or feed into each other and integrate into the overall processing; the computational resources used to develop, train, test and validate the AI system;</t>
  </si>
  <si>
    <t>where relevant, the data requirements in terms of datasheets describing the training methodologies and techniques and the training data sets used, including information about the provenance of those data sets, their scope and main characteristics; how the data was obtained and selected; labelling procedures (e.g. for supervised learning), data cleaning methodologies (e.g. outliers detection);</t>
  </si>
  <si>
    <t>assessment of the human oversight measures needed in accordance with Article 14, including an assessment of the technical measures needed to facilitate the interpretation of the outputs of AI systems by the users, in accordance with Articles 13(3)(d);</t>
  </si>
  <si>
    <t>where applicable, a detailed description of pre-determined changes to the AI system and its performance, together with all the relevant information related to the technical solutions adopted to ensure continuous compliance of the AI system with the relevant requirements set out in Title III, Chapter 2;</t>
  </si>
  <si>
    <t>the validation and testing procedures used, including information about the validation and testing data used and their main characteristics; metrics used to measure accuracy, robustness, cybersecurity and compliance with other relevant requirements set out in Title III, Chapter 2 as well as potentially discriminatory impacts; test logs and all test reports dated and signed by the responsible persons, including with regard to pre-determined changes as referred to under point (f).</t>
  </si>
  <si>
    <t>Detailed information about the monitoring, functioning and control of the AI system, in particular with regard to: its capabilities and limitations in performance, including the degrees of accuracy for specific persons or groups of persons on which the system is intended to be used and the overall expected level of accuracy in relation to its intended purpose; the foreseeable unintended outcomes and sources of risks to health and safety, fundamental rights and discrimination in view of the intended purpose of the AI system; the human oversight measures needed in accordance with Article 14, including the technical measures put in place to facilitate the interpretation of the outputs of AI systems by the users; specifications on input data, as appropriate;</t>
  </si>
  <si>
    <t>A detailed description of the risk management system in accordance with Article 9;</t>
  </si>
  <si>
    <t>A description of any change made to the system through its lifecycle;</t>
  </si>
  <si>
    <t>A list of the harmonised standards applied in full or in part the references of which have been published in the Official Journal of the European Union; where no such harmonised standards have been applied, a detailed description of the solutions adopted to meet the requirements set out in Title III, Chapter 2, including a list of other relevant standards and technical specifications applied;</t>
  </si>
  <si>
    <t>A copy of the EU declaration of conformity;</t>
  </si>
  <si>
    <t>A detailed description of the system in place to evaluate the AI system performance in the post-market phase in accordance with Article 61, including the post-market monitoring plan referred to in Article 61(3).</t>
  </si>
  <si>
    <t>ANNEX V</t>
  </si>
  <si>
    <t>EU DECLARATION OF CONFORMITY</t>
  </si>
  <si>
    <t>AI system name and type and any additional unambiguous reference allowing identification and traceability of the AI system;</t>
  </si>
  <si>
    <t>Name and address of the provider or, where applicable, their authorised representative;</t>
  </si>
  <si>
    <t>A statement that the EU declaration of conformity is issued under the sole responsibility of the provider;</t>
  </si>
  <si>
    <t>A statement that the AI system in question is in conformity with this Regulation and, if applicable, with any other relevant Union legislation that provides for the issuing of an EU declaration of conformity;</t>
  </si>
  <si>
    <t>References to any relevant harmonised standards used or any other common specification in relation to which conformity is declared;</t>
  </si>
  <si>
    <t>Where applicable, the name and identification number of the notified body, a description of the conformity assessment procedure performed and identification of the certificate issued;</t>
  </si>
  <si>
    <t>Place and date of issue of the declaration, name and function of the person who signed it as well as an indication for, and on behalf of whom, that person signed, signature.</t>
  </si>
  <si>
    <t>ANNEX VI</t>
  </si>
  <si>
    <t>CONFORMITY ASSESSMENT PROCEDURE BASED ON INTERNAL CONTROL</t>
  </si>
  <si>
    <t>The conformity assessment procedure based on internal control is the conformity assessment procedure based on points 2 to 4.</t>
  </si>
  <si>
    <t>The provider verifies that the established quality management system is in compliance with the requirements of Article 17.</t>
  </si>
  <si>
    <t>The provider examines the information contained in the technical documentation in order to assess the compliance of the AI system with the relevant essential requirements set out in Title III, Chapter 2.</t>
  </si>
  <si>
    <t>The provider also verifies that the design and development process of the AI system and its post-market monitoring as referred to in Article 61 is consistent with the technical documentation.</t>
  </si>
  <si>
    <t>ANNEX VII</t>
  </si>
  <si>
    <t>CONFORMITY BASED ON ASSESSMENT OF QUALITY MANAGEMENT SYSTEM AND ASSESSMENT OF TECHNICAL DOCUMENTATION</t>
  </si>
  <si>
    <t>Introduction</t>
  </si>
  <si>
    <t>Overview</t>
  </si>
  <si>
    <t>The application of the provider shall include:</t>
  </si>
  <si>
    <t>the name and address of the provider and, if the application is lodged by the authorised representative, their name and address as well;</t>
  </si>
  <si>
    <t>the list of AI systems covered under the same quality management system;</t>
  </si>
  <si>
    <t>the technical documentation for each AI system covered under the same quality management system;</t>
  </si>
  <si>
    <t>the documentation concerning the quality management system which shall cover all the aspects listed under Article 17;</t>
  </si>
  <si>
    <t>a description of the procedures in place to ensure that the quality management system remains adequate and effective;</t>
  </si>
  <si>
    <t>a written declaration that the same application has not been lodged with any other notified body.</t>
  </si>
  <si>
    <t>The quality management system shall be assessed by the notified body, which shall determine whether it satisfies the requirements referred to in Article 17.</t>
  </si>
  <si>
    <t>The quality management system as approved shall continue to be implemented and maintained by the provider so that it remains adequate and efficient.</t>
  </si>
  <si>
    <t>Any intended change to the approved quality management system or the list of AI systems covered by the latter shall be brought to the attention of the notified body by the provider.</t>
  </si>
  <si>
    <t>Control of the technical documentation.</t>
  </si>
  <si>
    <t>In addition to the application referred to in point 3, an application with a notified body of their choice shall be lodged by the provider for the assessment of the technical documentation relating to the AI system which the provider intends to place on the market or put into service and which is covered by the quality management system referred to under point 3.</t>
  </si>
  <si>
    <t>The application shall include:</t>
  </si>
  <si>
    <t>the name and address of the provider;</t>
  </si>
  <si>
    <t>a written declaration that the same application has not been lodged with any other notified body;</t>
  </si>
  <si>
    <t>the technical documentation referred to in Annex IV.</t>
  </si>
  <si>
    <t>The technical documentation shall be examined by the notified body. To this purpose, the notified body shall be granted full access to the training and testing datasets used by the provider, including through application programming interfaces (API) or other appropriate means and tools enabling remote access.</t>
  </si>
  <si>
    <t>In examining the technical documentation, the notified body may require that the provider supplies further evidence or carries out further tests so as to enable a proper assessment of conformity of the AI system with the requirements set out in Title III, Chapter 2. Whenever the notified body is not satisfied with the tests carried out by the provider, the notified body shall directly carry out adequate tests, as appropriate.</t>
  </si>
  <si>
    <t>Where necessary to assess the conformity of the high-risk AI system with the requirements set out in Title III, Chapter 2 and upon a reasoned request, the notified body shall also be granted access to the source code of the AI system</t>
  </si>
  <si>
    <t>The decision shall be notified to the provider or its authorised representative. The notification shall contain the conclusions of the assessment of the technical documentation and the reasoned assessment decision.Where the AI system is in conformity with the requirements set out in Title III, Chapter 2, an EU technical documentation assessment certificate shall be issued by the notified body. The certificate shall indicate the name and address of the provider, the conclusions of the examination, the conditions (if any) for its validity and the data necessary for the identification of the AI system.
The certificate and its annexes shall contain all relevant information to allow the conformity of the AI system to be evaluated, and to allow for control of the AI system while in use, where applicable.
Where the AI system is not in conformity with the requirements set out in Title III, Chapter 2, the notified body shall refuse to issue an EU technical documentation assessment certificate and shall inform the applicant accordingly, giving detailed reasons for its refusal.
Where the AI system does not meet the requirement relating to the data used to train it, re-training of the AI system will be needed prior to the application for a new conformity assessment. In this case, the reasoned assessment decision of the notified body refusing to issue the EU technical documentation assessment certificate shall contain specific considerations on the quality data used to train the AI system, notably on the reasons for non-compliance.</t>
  </si>
  <si>
    <t>Any change to the AI system that could affect the compliance of the AI system with the requirements or its intended purpose shall be approved by the notified body which issued the EU technical documentation assessment certificate. The provider shall inform such notified body of its intention to introduce any of the above-mentioned changes or if it becomes otherwise aware of the occurrence of such changes. The intended changes shall be assessed by the notified body which shall decide whether those changes require a new conformity assessment in accordance with Article 43(4) or whether they could be addressed by means of a supplement to the EU technical documentation assessment certificate. In the latter case, the notified body shall assess the changes, notify the provider of its decision and, where the changes are approved, issue to the provider a supplement to the EU technical documentation assessment certificate.</t>
  </si>
  <si>
    <t>Surveillance of the approved quality management system.</t>
  </si>
  <si>
    <t>The purpose of the surveillance carried out by the notified body referred to in Point 3 is to make sure that the provider duly fulfils the terms and conditions of the approved quality management system.</t>
  </si>
  <si>
    <t>For assessment purposes, the provider shall allow the notified body to access the premises where the design, development, testing of the AI systems is taking place. The provider shall further share with the notified body all necessary information.</t>
  </si>
  <si>
    <t>The notified body shall carry out periodic audits to make sure that the provider maintains and applies the quality management system and shall provide the provider with an audit report. In the context of those audits, the notified body may carry out additional tests of the AI systems for which an EU technical documentation assessment certificate was issued.</t>
  </si>
  <si>
    <t>ANNEX VIII</t>
  </si>
  <si>
    <t>INFORMATION TO BE SUBMITTED UPON THE REGISTRATION OF HIGH-RISK AI SYSTEMS IN ACCORDANCE WITH ARTICLE 51</t>
  </si>
  <si>
    <t>Name, address and contact details of the provider;</t>
  </si>
  <si>
    <t>Where submission of information is carried out by another person on behalf of the provider, the name, address and contact details of that person;</t>
  </si>
  <si>
    <t>Name, address and contact details of the authorised representative, where applicable;</t>
  </si>
  <si>
    <t>AI system trade name and any additional unambiguous reference allowing identification and traceability of the AI system;</t>
  </si>
  <si>
    <t>Description of the intended purpose of the AI system;</t>
  </si>
  <si>
    <t>Status of the AI system (on the market, or in service; no longer placed on the market/in service, recalled);</t>
  </si>
  <si>
    <t>Type, number and expiry date of the certificate issued by the notified body and the name or identification number of that notified body, when applicable;</t>
  </si>
  <si>
    <t>A scanned copy of the certificate referred to in point 7, when applicable;</t>
  </si>
  <si>
    <t>Member States in which the AI system is or has been placed on the market, put into service or made available in the Union;</t>
  </si>
  <si>
    <t>A copy of the EU declaration of conformity referred to in Article 48;</t>
  </si>
  <si>
    <t>Electronic instructions for use; this information shall not be provided for high-risk AI systems in the areas of law enforcement and migration, asylum and border control management referred to in Annex III, points 1, 6 and 7.</t>
  </si>
  <si>
    <t>URL for additional information (optional).</t>
  </si>
  <si>
    <t>ANNEX IX</t>
  </si>
  <si>
    <t>Union legislation ON large-scale IT systems in the area of Freedom, Security and Justice</t>
  </si>
  <si>
    <t>Schengen Information System</t>
  </si>
  <si>
    <t>Regulation (EU) 2018/1860 of the European Parliament and of the Council of 28 November 2018 on the use of the Schengen Information System for the return of illegally staying third-country nationals (OJ L 312, 7.12.2018, p. 1).</t>
  </si>
  <si>
    <t>Regulation (EU) 2018/1861 of the European Parliament and of the Council of 28 November 2018 on the establishment, operation and use of the Schengen Information System (SIS) in the field of border checks, and amending the Convention implementing the Schengen Agreement, and amending and repealing Regulation (EC) No 1987/2006 (OJ L 312, 7.12.2018, p. 14)</t>
  </si>
  <si>
    <t>Regulation (EU) 2018/1862 of the European Parliament and of the Council of 28 November 2018 on the establishment, operation and use of the Schengen Information System (SIS) in the field of police cooperation and judicial cooperation in criminal matters, amending and repealing Council Decision 2007/533/JHA, and repealing Regulation (EC) No 1986/2006 of the European Parliament and of the Council and Commission Decision 2010/261/EU (OJ L 312, 7.12.2018, p. 56).</t>
  </si>
  <si>
    <t>Visa Information System</t>
  </si>
  <si>
    <t>Proposal for a REGULATION OF THE EUROPEAN PARLIAMENT AND OF THE COUNCIL amending Regulation (EC) No 767/2008, Regulation (EC) No 810/2009, Regulation (EU) 2017/2226, Regulation (EU) 2016/399, Regulation XX/2018 [Interoperability Regulation], and Decision 2004/512/EC and repealing Council Decision 2008/633/JHA - COM(2018) 302 final. To be updated once the Regulation is adopted (April/May 2021) by the co-legislators.</t>
  </si>
  <si>
    <t>Eurodac</t>
  </si>
  <si>
    <t>Amended proposal for a REGULATION OF THE EUROPEAN PARLIAMENT AND OF THE COUNCIL on the establishment of 'Eurodac' for the comparison of biometric data for the effective application of Regulation (EU) XXX/XXX [Regulation on Asylum and Migration Management] and of Regulation (EU) XXX/XXX [Resettlement Regulation], for identifying an illegally staying third-country national or stateless person and on requests for the comparison with Eurodac data by Member States' law enforcement authorities and Europol for law enforcement purposes and amending Regulations (EU) 2018/1240 and (EU) 2019/818 – COM(2020) 614 final.</t>
  </si>
  <si>
    <t>Entry/Exit System</t>
  </si>
  <si>
    <t>Regulation (EU) 2017/2226 of the European Parliament and of the Council of 30 November 2017 establishing an Entry/Exit System (EES) to register entry and exit data and refusal of entry data of third-country nationals crossing the external borders of the Member States and determining the conditions for access to the EES for law enforcement purposes, and amending the Convention implementing the Schengen Agreement and Regulations (EC) No 767/2008 and (EU) No 1077/2011 (OJ L 327, 9.12.2017, p. 20).</t>
  </si>
  <si>
    <t>European Travel Information and Authorisation System</t>
  </si>
  <si>
    <t>Regulation (EU) 2018/1240 of the European Parliament and of the Council of 12 September 2018 establishing a European Travel Information and Authorisation System (ETIAS) and amending Regulations (EU) No 1077/2011, (EU) No 515/2014, (EU) 2016/399, (EU) 2016/1624 and (EU) 2017/2226 (OJ L 236, 19.9.2018, p. 1).</t>
  </si>
  <si>
    <t>Regulation (EU) 2018/1241 of the European Parliament and of the Council of 12 September 2018 amending Regulation (EU) 2016/794 for the purpose of establishing a European Travel Information and Authorisation System (ETIAS) (OJ L 236, 19.9.2018, p. 72).</t>
  </si>
  <si>
    <t>European Criminal Records Information System on third-country nationals and stateless persons</t>
  </si>
  <si>
    <t>Regulation (EU) 2019/816 of the European Parliament and of the Council of 17 April 2019 establishing a centralised system for the identification of Member States holding conviction information on third-country nationals and stateless persons (ECRIS-TCN) to supplement the European Criminal Records Information System and amending Regulation (EU) 2018/1726 (OJ L 135, 22.5.2019, p. 1).</t>
  </si>
  <si>
    <t>Interoperability</t>
  </si>
  <si>
    <t>Regulation (EU) 2019/817 of the European Parliament and of the Council of 20 May 2019 on establishing a framework for interoperability between EU information systems in the field of borders and visa (OJ L 135, 22.5.2019, p. 27).</t>
  </si>
  <si>
    <t>Regulation (EU) 2019/818 of the European Parliament and of the Council of 20 May 2019 on establishing a framework for interoperability between EU information systems in the field of police and judicial cooperation, asylum and migration (OJ L 135, 22.5.2019, p. 85).</t>
  </si>
  <si>
    <t>https://eur-lex.europa.eu/legal-content/EN/TXT/HTML/?uri=CELEX:52021PC0206&amp;from=EN</t>
  </si>
  <si>
    <t>AiaDefinitions</t>
  </si>
  <si>
    <t>AiSystem, Provider, SmallScaleProvider, User, AuthorisedRepresentative, Importer, Distributor, Operator, PlacingOnTheMarket, MakingAvailableOnTheMarket, PuttingIntoService, IntendedPurpose, ReasonablyForseeableMisuse, SafetyComponent, InstructionsForUse, Recall, Withdrawal, Performance, NotifyingAuthority, ConformityAssessment, ConformityAssessmentBody, NotifiedBody, SubstantialChange, CeMarking, PostMarketMonitoring, MarketSurveillanceAuthority, HarmonisedStandard, CommonSpecification, TrainingData, ValidationData, TestingData, InputData, BiometricData, EmotionRecognitionSystem, BiometricCategorisationSystem, RemoteBiometricIdentificationSystem, RealTimeRemoteBiometricIdentificationSystem, PostRemoteBiometricIdentificationSystem, PubliclyAccessibleSpace, LawEnforcementAuthorityPublic, LawEnforcementAuthorityOther, LawEnforcement, NationalSupervisoryAuthority, NationalCompetentAuthority, SeriousIncidentPersonPropertyEnvironment, SeriousIncidentInfrastructure</t>
  </si>
  <si>
    <t>AiSystemTechniquesAndApproaches</t>
  </si>
  <si>
    <t>MachineLearningApproaches, LogicAndKowledgeBasedApproaches, StatisticalApproaches</t>
  </si>
  <si>
    <t>ListOfUnionHarmonisationLegislation</t>
  </si>
  <si>
    <t>ListofUnionHarmonisationLegislationBasedOnThe NewLegislativeFramework, ListofOtherUnionHarmonisationLegislation</t>
  </si>
  <si>
    <t>ListofUnionHarmonisationLegislationBasedOnThe NewLegislativeFramework</t>
  </si>
  <si>
    <t>MachineryHarmonisedLegislation, ToysHarmonisedLegislation, RecreationalPersonalWatercraftHarmonisedLegislation, LiftsHarmonisedLegislation, ExplosiveGassesHarmonisedLegislation, RadioEquipmentHarmonisedLegislation, PressureEquipmentHarmonisedLegislation, CablewayInstallationHarmonisedLegislation, PersonalProtectiveEquipmentHarmonisedLegislation, BurningGaseousFuelsHarmonisedLegislation, MedicalDevicesHarmonisedLegislation, InVitroDiagnosticMedicalDevicesHarmonisedLegislation</t>
  </si>
  <si>
    <t>ListofOtherUnionHarmonisationLegislation</t>
  </si>
  <si>
    <t>CivilAviationHarmonisedLegislation, TwoOrThreeWheelVehiclesAndQuadricyclesHarmonisedLegislation, AgriculturalAndForestryVehiclesHarmonisedLegislation, MarineEquipmentHarmonisedLegislation, RailSystemsHarmonisedLegislation, MotorVehiclesAndTheirTrailersAndComponentsHarmonisedLegislation, CivilAviationSafetyHarmonisedLegislation</t>
  </si>
  <si>
    <t>HighRiskAreaAiSystems</t>
  </si>
  <si>
    <t>RemoteBiometricIdAiSystem, CriticalInfrastructureHighRiskArea, SafetyOfCriticalInfrastructureAiSystem, AccessToEducationAndTrainingAiSystem, AssessmentInEducationAndTrainingAiSystem, RecruitmentForEmploymentAiSystem, DecisionsInmploymentAiSystem, DecisionOnPublicBenefitsAndServicesAiSystem, DecisionOnCreditAssessmentAiSystem, DecisionOnEmergencyServicesAiSystem, OffencesRiskAssessmentAiSystem, EmotionDetectionForLawEnforcementAiSystem, DeepFakeDetectionForLawEnforcementAiSystem, EvidenceReliabilityAssessmentAiSystem, CrimePredictionAiSystem, ProfilingForLawEnforcementAiSystem, CriminalDataAnalysisAiSystem, LieAndEmotionDetectionForImmigrationAiSystem, ImmigrationDocumentCheckAiSystem. ImmigrationApplicationProcessingAiSystem, JudicialAuthorityAssistanceAiSystem</t>
  </si>
  <si>
    <t>HighRiskAiAreas</t>
  </si>
  <si>
    <t>BiometricIdHighRiskArea, CriticalInfrastructureHighRiskArea, EducationAndTrainingHighRiskArea, EmploymentRelatedHighRiskArea, AccessToEssentialServicesAndBenefitsHighRiskArea, LawEnforcementHighRiskArea, MigrationAsylumAndBorderControlHighRiskArea, AdministrationOfJusticeAndDemocraticHighRiskArea,</t>
  </si>
  <si>
    <t>dct:source "aiaText, *"</t>
  </si>
  <si>
    <t>rdf:seeAlso</t>
  </si>
  <si>
    <t>TrainingData</t>
  </si>
  <si>
    <t>training data</t>
  </si>
  <si>
    <t>data used for training an AI system through fitting its learnable parameters, including the weights of a neural network</t>
  </si>
  <si>
    <t>AiSystem</t>
  </si>
  <si>
    <t>ValidationData</t>
  </si>
  <si>
    <t>validation data</t>
  </si>
  <si>
    <t>data used for providing an evaluation of the trained AI system and for tuning its non-learnable parameters and its learning process, among other things, in order to prevent overfitting; whereas the validation dataset can be a separate dataset or part of the training dataset, either as a fixed or variable split</t>
  </si>
  <si>
    <t>TestingData</t>
  </si>
  <si>
    <t>testing data</t>
  </si>
  <si>
    <t>data used for providing an independent evaluation of the trained and validated AI system in order to confirm the expected performance of that system before its placing on the market or putting into service</t>
  </si>
  <si>
    <t>InputData</t>
  </si>
  <si>
    <t>input data</t>
  </si>
  <si>
    <t>data provided to or directly acquired by an AI system on the basis of which the system produces an output</t>
  </si>
  <si>
    <t>BiometricData</t>
  </si>
  <si>
    <t>biometric data</t>
  </si>
  <si>
    <t>data resulting from specific technical processing relating to the physical, physiological or behavioural characteristics of a natural person, which allow or confirm the unique identification of that natural person, such as facial images or dactyloscopic data</t>
  </si>
  <si>
    <t>EmotionRecognitionSystem</t>
  </si>
  <si>
    <t>emotion recognition system</t>
  </si>
  <si>
    <t>an AI system for the purpose of identifying or inferring emotions or intentions of natural persons on the basis of their biometric data</t>
  </si>
  <si>
    <t>BiometricCategorisationSystem</t>
  </si>
  <si>
    <t>biometric categorisation system</t>
  </si>
  <si>
    <t>an AI system for the purpose of assigning natural persons to specific categories, such as sex, age, hair colour, eye colour, tattoos, ethnic origin or sexual or political orientation, on the basis of their biometric data</t>
  </si>
  <si>
    <t>RemoteBiometricIdentificationSystem</t>
  </si>
  <si>
    <t>remote biometric identification system</t>
  </si>
  <si>
    <t>an AI system for the purpose of identifying natural persons at a distance through the comparison of a person's biometric data with the biometric data contained in a reference database, and without prior knowledge of the user of the AI system whether the person will be present and can be identified</t>
  </si>
  <si>
    <t>BioMetricData</t>
  </si>
  <si>
    <t>RealTimeRemoteBiometricIdentificationSystem</t>
  </si>
  <si>
    <t>real-time' remote biometric identification system</t>
  </si>
  <si>
    <t>a remote biometric identification system whereby the capturing of biometric data, the comparison and the identification all occur without a significant delay. This comprises not only instant identification, but also limited short delays in order to avoid circumvention</t>
  </si>
  <si>
    <t>CriminalDataAnalysisAiSystem</t>
  </si>
  <si>
    <t>AnnexIII(6g)</t>
  </si>
  <si>
    <t>criminal data analysis</t>
  </si>
  <si>
    <t>LawEnforcementHighRiskAreas, AiSystem</t>
  </si>
  <si>
    <t>DataAndDataGovernanceReqColl</t>
  </si>
  <si>
    <t>RequirementsforHighRiskAiSystemsReqColl</t>
  </si>
  <si>
    <t>AccessToDataAndDocumentationReqColl</t>
  </si>
  <si>
    <t>EnforcementReqColl</t>
  </si>
  <si>
    <t>AiaPrReq_9.2_4</t>
  </si>
  <si>
    <t>https://eur-lex.europa.eu/legal-content/EN/TXT/?uri=CELEX:52021PC0206</t>
  </si>
  <si>
    <t>Article 9(2)(c)</t>
  </si>
  <si>
    <t>[The continuous iterative process] shall [comprise] the following steps: evaluation of other possibly arising risks based on the analysis of data gathered from the post-market monitoring system referred to in Article 61;</t>
  </si>
  <si>
    <t>RiskManagementSystemReqColl</t>
  </si>
  <si>
    <t>AiaPrReq_9.2_1</t>
  </si>
  <si>
    <t>le_continuous_iterative_process</t>
  </si>
  <si>
    <t>AiaPrReq_10.1</t>
  </si>
  <si>
    <t>Article 10(1)</t>
  </si>
  <si>
    <t>MssConjReq_9.1_R1a, MssConjReq_9.1_R1b</t>
  </si>
  <si>
    <t>le_techniques_involving_the_training_of_models_with_data</t>
  </si>
  <si>
    <t>le_high_risk_AI_system</t>
  </si>
  <si>
    <t>AiaPrReq_10.2_1</t>
  </si>
  <si>
    <t>Article 10(2)</t>
  </si>
  <si>
    <t>Training, validation and testing data sets shall be subject to appropriate data governance and management practices.</t>
  </si>
  <si>
    <t>MssConjReq_9.1_R1b</t>
  </si>
  <si>
    <t>le_data_governance_practices, le_data_management_practices</t>
  </si>
  <si>
    <t>le_training_validation_and_testing_data_sets</t>
  </si>
  <si>
    <t>AiaPrReq_10.2_2</t>
  </si>
  <si>
    <t>Article 10(2)(a)</t>
  </si>
  <si>
    <t>Those [data governance and management] [practices shall concern in particular] the relevant design choices</t>
  </si>
  <si>
    <t>AiaPrReq_10.2_3</t>
  </si>
  <si>
    <t>Article 10(2)(b)</t>
  </si>
  <si>
    <t>Those [data governance and management] [practices shall concern in particular] data collection</t>
  </si>
  <si>
    <t>AiaPrReq_10.2_4</t>
  </si>
  <si>
    <t>Article 10(2)(c)</t>
  </si>
  <si>
    <t>Those [data governance and management] [practices shall concern in particular] relevant data preparation processing operations, such as annotation, labelling, cleaning, enrichment and aggregation</t>
  </si>
  <si>
    <t>AiaPrReq_10.2_1, le_data_preparation_operations</t>
  </si>
  <si>
    <t>AiaPrReq_10.2_5</t>
  </si>
  <si>
    <t>Article 10(2)(d)</t>
  </si>
  <si>
    <t>Those [data governance and management] [practices shall concern in particular] the formulation of relevant assumptions, notably with respect to the information that the data are supposed to measure and represent;</t>
  </si>
  <si>
    <t>AiaPrReq_10.2_6</t>
  </si>
  <si>
    <t>Article 10(2)(e)</t>
  </si>
  <si>
    <t>Those [data governance and management] [practices shall concern in particular] a prior assessment of the availability, quantity and suitability of the data sets that are needed.</t>
  </si>
  <si>
    <t>AiaPrReq_10.2_7</t>
  </si>
  <si>
    <t>Article 10(2)(f)</t>
  </si>
  <si>
    <t>Those [data governance and management] [practices shall concern in particular] examination in view of possible biases</t>
  </si>
  <si>
    <t>AiaPrReq_10.2_1, le_bias</t>
  </si>
  <si>
    <t>AiaPrReq_10.2_8</t>
  </si>
  <si>
    <t>Article 10(2)(g)</t>
  </si>
  <si>
    <t>Those [data governance and management] [practices shall concern in particular] the identification of any possible data gaps or shortcomings, and how those gaps and shortcomings can be addressed.</t>
  </si>
  <si>
    <t>AiaPrReq_10.2_1, le_data_gaps_or_shortcomings</t>
  </si>
  <si>
    <t>AiaPrReq_10.3_1</t>
  </si>
  <si>
    <t>Article 10(3)</t>
  </si>
  <si>
    <t>Training, validation and testing data sets shall be relevant, representative, free of errors and complete.</t>
  </si>
  <si>
    <t>MssConjReq_9.1_R1a</t>
  </si>
  <si>
    <t>le_training_data_set, le_validation_data_set, le_testing_data_set</t>
  </si>
  <si>
    <t>AiaPrReq_10.3_2</t>
  </si>
  <si>
    <t>[Training, validation and testing data sets] shall have the appropriate statistical properties, including, where applicable, as regards the persons or groups of persons on which the high-risk AI system is intended to be used.</t>
  </si>
  <si>
    <t>AiUser</t>
  </si>
  <si>
    <t>AiaPrReq_10.3_3</t>
  </si>
  <si>
    <t>These characteristics [appropriate statistical properties, including, where applicable, as regards the persons or groups of persons on which the high-risk AI system is intended to be used] of the data sets may be met at the level of individual data sets or a combination thereof.</t>
  </si>
  <si>
    <t>AiaPrReq_10.4</t>
  </si>
  <si>
    <t>Article 10(4)</t>
  </si>
  <si>
    <t>le_specific_geographical_behavioural_or_functional_setting</t>
  </si>
  <si>
    <t>AiaPrReq_10.5</t>
  </si>
  <si>
    <t>Article 10(5)</t>
  </si>
  <si>
    <t>To the extent that it is strictly necessary for the purposes of ensuring bias monitoring, detection and correction in relation to the high-risk AI systems, the providers of such systems may process special categories of personal data referred to in Article 9(1) of Regulation (EU) 2016/679, Article 10 of Directive (EU) 2016/680 and Article 10(1) of Regulation (EU) 2018/1725, subject to appropriate safeguards for the fundamental rights and freedoms of natural persons, including technical limitations on the re-use and use of state-of-the-art security and privacy-preserving measures, such as pseudonymisation, or encryption where anonymisation may significantly affect the purpose pursued.</t>
  </si>
  <si>
    <t>MssReq_4.1</t>
  </si>
  <si>
    <t>le_article_9_1_regulation_eu_2016_679, le_article_10_directive_eu_2016_680, le_article_10_1_regulation_eu_2018_1725</t>
  </si>
  <si>
    <t>Provider</t>
  </si>
  <si>
    <t>AiaPrReq_10.6</t>
  </si>
  <si>
    <t>Article 10(6)</t>
  </si>
  <si>
    <t>AiaPrReq_10.2_1, AiaPrReq_10.2_2, AiaPrReq_10.2_3, AiaPrReq_10.2_4, AiaPrReq_10.2_5, AiaPrReq_10.2_6, AiaPrReq_10.2_7, AiaPrReq_10.2_8</t>
  </si>
  <si>
    <t>AiaPrReq_12.4_2</t>
  </si>
  <si>
    <t>Article 12(4)(b)</t>
  </si>
  <si>
    <t>[For high-risk AI systems referred to in paragraph 1, point (a) of Annex III, the logging capabilities shall provide, at a minimum] the reference database against which input data has been checked by the system;</t>
  </si>
  <si>
    <t>RecordKeepingReqColl</t>
  </si>
  <si>
    <t>le_logs</t>
  </si>
  <si>
    <t>le_annex_iii_1</t>
  </si>
  <si>
    <t>AiaPrReq_12.4_3</t>
  </si>
  <si>
    <t>Article 12(4)(c)</t>
  </si>
  <si>
    <t>[For high-risk AI systems referred to in paragraph 1, point (a) of Annex III, the logging capabilities shall provide, at a minimum] the input data for which the search has led to a match</t>
  </si>
  <si>
    <t>AiaPrReq_13.3_2_5</t>
  </si>
  <si>
    <t>Article 13(3)(b)(v)</t>
  </si>
  <si>
    <t>[The information referred to in paragraph 2 shall specify] [the characteristics, capabilities and limitations of performance of the high-risk AI system, including] when appropriate, specifications for the input data, or any other relevant information in terms of the training, validation and testing data sets used, taking into account the intended purpose of the AI system.</t>
  </si>
  <si>
    <t>TransparencyAndProvisionOfInformationToUsersReqColl</t>
  </si>
  <si>
    <t>AiaPrReq_13.2</t>
  </si>
  <si>
    <t>AiaPrReq_15.4_3</t>
  </si>
  <si>
    <t>Article 15(4)</t>
  </si>
  <si>
    <t>The technical solutions to address AI specific vulnerabilities shall include, where appropriate, measures to prevent and control for attacks trying to manipulate the training dataset (‘data poisoning’), inputs designed to cause the model to make a mistake (‘adversarial examples’), or model flaws.</t>
  </si>
  <si>
    <t>AimssActionsToAddressRisksAndOpportunitiesAiRiskTreatmentReqColl</t>
  </si>
  <si>
    <t>AccuracyRobustnessAndCybersecurityReqColl</t>
  </si>
  <si>
    <t>le_technical_solutions_to_address_AI_specific_vulnerabilities</t>
  </si>
  <si>
    <t>AiaPrReq_17.1_c_6</t>
  </si>
  <si>
    <t>Article 17(1)(f)</t>
  </si>
  <si>
    <t>That [quality management system] [shall include at least the following aspects] systems and procedures for data management, including data collection, data analysis, data labelling, data storage, data filtration, data mining, data aggregation, data retention and any other operation regarding the data that is performed before and for the purposes of the placing on the market or putting into service of high-risk AI systems;</t>
  </si>
  <si>
    <t>AimssConjReq_4.1_R1.1</t>
  </si>
  <si>
    <t>QualityManagementSystemReqColl</t>
  </si>
  <si>
    <t>AiaPrReq_17.1_a</t>
  </si>
  <si>
    <t>le_systems_and_procedures_for_data_management</t>
  </si>
  <si>
    <t>le_quality_management_system</t>
  </si>
  <si>
    <t>AiaPrReq_17.1_c_10</t>
  </si>
  <si>
    <t>Article 17(1)(j)</t>
  </si>
  <si>
    <t>That [quality management system] [shall include at least the following aspects] the handling of communication with national competent authorities, competent authorities, including sectoral ones, providing or supporting the access to data, notified bodies, other operators, customers or other interested parties</t>
  </si>
  <si>
    <t>AiaPrReq_33_10_2</t>
  </si>
  <si>
    <t>Article 33(10)</t>
  </si>
  <si>
    <t>To that end, at all times and for each conformity assessment procedure and each type of high-risk AI system in relation to which they have been designated, the notified body shall have permanent availability of sufficient administrative, technical and scientific personnel who possess experience and knowledge relating to the relevant artificial intelligence technologies, data and data computing and to the requirements set out in Chapter 2 of this Title.</t>
  </si>
  <si>
    <t>NotifiedBodiesReqColl</t>
  </si>
  <si>
    <t>RequirementsForHighRiskAiSystemsReqColl</t>
  </si>
  <si>
    <t>le_notified_bodies</t>
  </si>
  <si>
    <t>AiaPrReq_51.1</t>
  </si>
  <si>
    <t>Article 51(1)</t>
  </si>
  <si>
    <t>RegistrationReqColl</t>
  </si>
  <si>
    <t>le_post_market_monitoring_system, le_high_risk_AI_system</t>
  </si>
  <si>
    <t>le_annexII_a</t>
  </si>
  <si>
    <t>Provider, AuthorisedRepresentative</t>
  </si>
  <si>
    <t>AiaPrReq_61.2</t>
  </si>
  <si>
    <t>Article 61(2)</t>
  </si>
  <si>
    <t>PostMarketMonitoringByProvidersAndPostMarketMonitoringPlanForHighRiskAiSystemsReqColl</t>
  </si>
  <si>
    <t>Performance, le_evaluate_the_continuous_compliance_of_ai_systems</t>
  </si>
  <si>
    <t>le_post_market_monitoring_system</t>
  </si>
  <si>
    <t>AiaPrReq_64.3_1</t>
  </si>
  <si>
    <t>Article 64(3)</t>
  </si>
  <si>
    <t>National public authorities or bodies which supervise or enforce the respect of obligations under Union law protecting fundamental rights in relation to the use of high-risk AI systems referred to in Annex III shall have the power to request and access any documentation created or maintained under this Regulation when access to that documentation is necessary for the fulfilment of the competences under their mandate within the limits of their jurisdiction.</t>
  </si>
  <si>
    <t>le_technical_documentation</t>
  </si>
  <si>
    <t>le_national_public_authorities_or_bodies</t>
  </si>
  <si>
    <t>AiaPrReq_64.3_2</t>
  </si>
  <si>
    <t>The relevant public authority or body shall inform the market surveillance authority of the Member State concerned of any such request.</t>
  </si>
  <si>
    <t>le_relevant_public_authority_or_body</t>
  </si>
  <si>
    <t>Source: competence questions from</t>
  </si>
  <si>
    <t>Questio Area</t>
  </si>
  <si>
    <t>Competence Question ID</t>
  </si>
  <si>
    <t>GDPR refererences - Retitals (R) and Article (A)</t>
  </si>
  <si>
    <t>Requirements/Competence Question</t>
  </si>
  <si>
    <t>Actor holding knowledge</t>
  </si>
  <si>
    <t>Reference points via which knowledge is exchanged</t>
  </si>
  <si>
    <t>Compliance questions pertaining to records of processing activities to be kept by controllers</t>
  </si>
  <si>
    <t>CMQ.1</t>
  </si>
  <si>
    <t>R82,A30,A30-3</t>
  </si>
  <si>
    <t>How are the records of processing activities maintained?</t>
  </si>
  <si>
    <t>CMQ.2</t>
  </si>
  <si>
    <t>A30-1a</t>
  </si>
  <si>
    <t>What is the name and identity of the controller(s) and their representatives/DPOs?</t>
  </si>
  <si>
    <t>CMQ.3</t>
  </si>
  <si>
    <t>A30-1b</t>
  </si>
  <si>
    <t>What are the purposes of processing?</t>
  </si>
  <si>
    <t>CMQ.4</t>
  </si>
  <si>
    <t>A30-1c</t>
  </si>
  <si>
    <t>What are the categories of data subjects?</t>
  </si>
  <si>
    <t>CMQ.5</t>
  </si>
  <si>
    <t>What are the categories of personal data?</t>
  </si>
  <si>
    <t>CMQ.6</t>
  </si>
  <si>
    <t>Is data shared?</t>
  </si>
  <si>
    <t>CMQ.7</t>
  </si>
  <si>
    <t>A30-1d</t>
  </si>
  <si>
    <t>If data is shared, what are the categories of recipients to whom the personal data is or will be disclosed?</t>
  </si>
  <si>
    <t>CMQ.8</t>
  </si>
  <si>
    <t>A30-1d,A30-1e</t>
  </si>
  <si>
    <t>If data is shared, what are the identities of the recipients to whom the data is or will be disclosed?</t>
  </si>
  <si>
    <t>CMQ.9</t>
  </si>
  <si>
    <t>A30-1e</t>
  </si>
  <si>
    <t>If data is shared, are the recipients to whom the data is or will be disclosed based in a Third Country or International Organisation?</t>
  </si>
  <si>
    <t>CMQ.10</t>
  </si>
  <si>
    <t>If data is shared, and the recipients are in a Third Country or International Organisation, what are the safeguards associated with data transfer?</t>
  </si>
  <si>
    <t>CMQ.11</t>
  </si>
  <si>
    <t>Is data stored?</t>
  </si>
  <si>
    <t>CMQ.12</t>
  </si>
  <si>
    <t>Where data is stored, its erasure is based on what criteria: time limit or condition or event?</t>
  </si>
  <si>
    <t>CMQ.13</t>
  </si>
  <si>
    <t>A30-1f</t>
  </si>
  <si>
    <t>Where data is stored, what are the time limits or conditions or events for erasure for different categories of data?</t>
  </si>
  <si>
    <t>CMQ.14</t>
  </si>
  <si>
    <t>A30-1g</t>
  </si>
  <si>
    <t>What are the technical and organisational security measures w.r.t to the processing of personal data?</t>
  </si>
  <si>
    <t>CMQ.15</t>
  </si>
  <si>
    <t>Where data is shared, what are the purposes for sharing of personal data with the recipients?</t>
  </si>
  <si>
    <t>Compliance questions pertaining to records of processing activities to be kept by processors</t>
  </si>
  <si>
    <t>CMQ.16</t>
  </si>
  <si>
    <t>CMQ.17</t>
  </si>
  <si>
    <t>What is the name and identity of the processor(s) and their representatives/DPOs?</t>
  </si>
  <si>
    <t>CMQ.18</t>
  </si>
  <si>
    <t>A30-2a</t>
  </si>
  <si>
    <t>What is the name and identity of the controller(s) the processor is acting on behalf of?</t>
  </si>
  <si>
    <t>CMQ.19</t>
  </si>
  <si>
    <t>A30-2b</t>
  </si>
  <si>
    <t>What are the categories of processing carried out on behalf of the controller?</t>
  </si>
  <si>
    <t>CMQ.20</t>
  </si>
  <si>
    <t>CMQ.21</t>
  </si>
  <si>
    <t>CMQ.22</t>
  </si>
  <si>
    <t>CMQ.23</t>
  </si>
  <si>
    <t>CMQ.24</t>
  </si>
  <si>
    <t>CMQ.25</t>
  </si>
  <si>
    <t>Compliance questions pertaining to legal basis of processing activities</t>
  </si>
  <si>
    <t>CMQ.26</t>
  </si>
  <si>
    <t>What is the legal basis for processing of data?</t>
  </si>
  <si>
    <t>CMQ.27</t>
  </si>
  <si>
    <t>What is the legal basis for the purpose for processing of data?</t>
  </si>
  <si>
    <t>Compliance questions pertaining to personal data</t>
  </si>
  <si>
    <t>CMQ.28</t>
  </si>
  <si>
    <t>What are the sources of personal data?</t>
  </si>
  <si>
    <t>CMQ.29</t>
  </si>
  <si>
    <t>What personal data are collected from the data subject?</t>
  </si>
  <si>
    <t>CMQ.30</t>
  </si>
  <si>
    <t>Where personal data are not collected from the data subject, what are their sources?</t>
  </si>
  <si>
    <t>CMQ.31</t>
  </si>
  <si>
    <t>Where data has been anonymised, what techniques were used for anonymisation?</t>
  </si>
  <si>
    <t>CMQ.32</t>
  </si>
  <si>
    <t>Can pseudo-anonymised data be de-anonymised by the organisation using information it already possesses or is available to it?</t>
  </si>
  <si>
    <t>CMQ.33</t>
  </si>
  <si>
    <t>Where personal data is collected, is it pseudo-anonymous?</t>
  </si>
  <si>
    <t>CMQ.34</t>
  </si>
  <si>
    <t>What are the special categories of personal data being processed?</t>
  </si>
  <si>
    <t>Compliance questions pertaining to given consent</t>
  </si>
  <si>
    <t>CMQ.35</t>
  </si>
  <si>
    <t>A4-11</t>
  </si>
  <si>
    <t>Who is the Data Subject associated with consent?</t>
  </si>
  <si>
    <t>CMQ.36</t>
  </si>
  <si>
    <t>R32,A4-11</t>
  </si>
  <si>
    <t>What are the Personal Data associated with consent?</t>
  </si>
  <si>
    <t>CMQ.37</t>
  </si>
  <si>
    <t>R32,R42</t>
  </si>
  <si>
    <t>What are the Purposes associated with consent?</t>
  </si>
  <si>
    <t>CMQ.38</t>
  </si>
  <si>
    <t>What are the Data Processing associated with consent?</t>
  </si>
  <si>
    <t>CMQ.39</t>
  </si>
  <si>
    <t>A7-3</t>
  </si>
  <si>
    <t>What is the current Status of consent?</t>
  </si>
  <si>
    <t>CMQ.40</t>
  </si>
  <si>
    <t>Who are the Data Controllers associated with consent?</t>
  </si>
  <si>
    <t>CMQ.41</t>
  </si>
  <si>
    <t>A7-2</t>
  </si>
  <si>
    <t>Who provided consent?</t>
  </si>
  <si>
    <t>CMQ.42</t>
  </si>
  <si>
    <t>A8-c</t>
  </si>
  <si>
    <t>Was consent provided by Delegation?</t>
  </si>
  <si>
    <t>CMQ.43</t>
  </si>
  <si>
    <t>If consent was provided by Delegation, what was the role played by Delegate with respect to the Data Subject?</t>
  </si>
  <si>
    <t>CMQ.44</t>
  </si>
  <si>
    <t>If consent was provided by Delegation, how was the delegation executed?</t>
  </si>
  <si>
    <t>CMQ.45</t>
  </si>
  <si>
    <t>A8-2</t>
  </si>
  <si>
    <t>If consent was provided by Delegation, how was the delegate authenticated?</t>
  </si>
  <si>
    <t>CMQ.46</t>
  </si>
  <si>
    <t>Who was the consent given to?</t>
  </si>
  <si>
    <t>CMQ.47</t>
  </si>
  <si>
    <t>If consent was not given to the Data Controller, what is the relationship between the entity it was provided to and the Data Controller?</t>
  </si>
  <si>
    <t>CMQ.48</t>
  </si>
  <si>
    <t>How was the consent given/obtained?</t>
  </si>
  <si>
    <t>CMQ.49</t>
  </si>
  <si>
    <t>What artefacts were involved in the giving/obtaining of consent?</t>
  </si>
  <si>
    <t>CMQ.50</t>
  </si>
  <si>
    <t>What were the choices provided for consent?</t>
  </si>
  <si>
    <t>CMQ.51</t>
  </si>
  <si>
    <t>What was the statement or affirmative action indicating given consent?</t>
  </si>
  <si>
    <t>CMQ.52</t>
  </si>
  <si>
    <t>How was the right to withdraw consent communicated to the data subject?</t>
  </si>
  <si>
    <t>CMQ.53</t>
  </si>
  <si>
    <t>At what location was the consent given?</t>
  </si>
  <si>
    <t>CMQ.54</t>
  </si>
  <si>
    <t>R32,A7-2</t>
  </si>
  <si>
    <t>What is the medium associated with consent?</t>
  </si>
  <si>
    <t>CMQ.55</t>
  </si>
  <si>
    <t>What is the timestamp associated with the consent?</t>
  </si>
  <si>
    <t>CMQ.56</t>
  </si>
  <si>
    <t>What is the expiry of the consent?</t>
  </si>
  <si>
    <t>CMQ.57</t>
  </si>
  <si>
    <t>Is the purpose or processing associated with a third party?</t>
  </si>
  <si>
    <t>CMQ.58</t>
  </si>
  <si>
    <t>What is the role played by the third party in the purpose or processing?</t>
  </si>
  <si>
    <t>CMQ.59</t>
  </si>
  <si>
    <t>Does the processing of data involve storage of data?</t>
  </si>
  <si>
    <t>CMQ.60</t>
  </si>
  <si>
    <t>If personal data is being stored, what is the duration of storage for Personal Data?</t>
  </si>
  <si>
    <t>CMQ.61</t>
  </si>
  <si>
    <t>If personal data is being stored, what is the location of storage?</t>
  </si>
  <si>
    <t>CMQ.62</t>
  </si>
  <si>
    <t>R71,A9-2c,A22-2c</t>
  </si>
  <si>
    <t>Are processing associated with consent of automated nature?</t>
  </si>
  <si>
    <t>CMQ.63</t>
  </si>
  <si>
    <t>R111,A49-1a</t>
  </si>
  <si>
    <t>Does the processing of data involve transfer to a Third Country or International Organisation?</t>
  </si>
  <si>
    <t>CMQ.64</t>
  </si>
  <si>
    <t>If processing of data involves transfer to a Third Country or International Organisation, what is the identity of the Third Country or International Organisation?</t>
  </si>
  <si>
    <t>CMQ.65</t>
  </si>
  <si>
    <t>R51,A8-2a</t>
  </si>
  <si>
    <t>Do the personal data associated with consent belong to a special category?</t>
  </si>
  <si>
    <t>CMQ.66</t>
  </si>
  <si>
    <t>How is personal data associated or linked to the data subject?</t>
  </si>
  <si>
    <t>CMQ.67</t>
  </si>
  <si>
    <t>A8</t>
  </si>
  <si>
    <t>Is the Data Subject of legal age to provide their own consent?</t>
  </si>
  <si>
    <t>CMQ.68</t>
  </si>
  <si>
    <t>A8-1</t>
  </si>
  <si>
    <t>What are the specific laws that determine the legal age to provide consent?</t>
  </si>
  <si>
    <t>CMQ.69</t>
  </si>
  <si>
    <t>R43</t>
  </si>
  <si>
    <t>Does the Data Subject have a specific relationship with the Data Controller?</t>
  </si>
  <si>
    <t>Compliance questions pertaining to change in consent state</t>
  </si>
  <si>
    <t>CMQ.70</t>
  </si>
  <si>
    <t>CMQ.71</t>
  </si>
  <si>
    <t>CMQ.72</t>
  </si>
  <si>
    <t>CMQ.73</t>
  </si>
  <si>
    <t>CMQ.74</t>
  </si>
  <si>
    <t>What is the current state/status of consent?</t>
  </si>
  <si>
    <t>CMQ.75</t>
  </si>
  <si>
    <t>CMQ.76</t>
  </si>
  <si>
    <t>Who changed the state/status of consent?</t>
  </si>
  <si>
    <t>CMQ.77</t>
  </si>
  <si>
    <t>Was consent changed by Delegation?</t>
  </si>
  <si>
    <t>CMQ.78</t>
  </si>
  <si>
    <t>If consent was changed by Delegation, what was the role played by Delegate with respect to the Data Subject?</t>
  </si>
  <si>
    <t>CMQ.79</t>
  </si>
  <si>
    <t>If consent was changed by Delegation, how was the delegation executed?</t>
  </si>
  <si>
    <t>CMQ.80</t>
  </si>
  <si>
    <t>If consent was changed by Delegation, how was the delegate authenticated?</t>
  </si>
  <si>
    <t>CMQ.81</t>
  </si>
  <si>
    <t>How was the consent state/status changed?</t>
  </si>
  <si>
    <t>CMQ.82</t>
  </si>
  <si>
    <t>What artefacts were involved in the change in state/status of consent?</t>
  </si>
  <si>
    <t>CMQ.83</t>
  </si>
  <si>
    <t>If change in consent was done by the Data Subject, what was the statement or affirmative action indicating change to their consent?</t>
  </si>
  <si>
    <t>CMQ.84</t>
  </si>
  <si>
    <t>At what location was the consent changed?</t>
  </si>
  <si>
    <t>CMQ.85</t>
  </si>
  <si>
    <t>What is the medium associated with change in consent?</t>
  </si>
  <si>
    <t>CMQ.86</t>
  </si>
  <si>
    <t>CMQ.87</t>
  </si>
  <si>
    <t>If the current state/status of consent is valid for processing, what is the expiry of the consent?</t>
  </si>
  <si>
    <t>Compliance questions pertaining to provision of right to be informed</t>
  </si>
  <si>
    <t>CMQ.88</t>
  </si>
  <si>
    <t>How was information relevant for the right to be informed provided to the data subjects?</t>
  </si>
  <si>
    <t>CMQ.89</t>
  </si>
  <si>
    <t>When was the information relevant to right to be informed was provided to the data subject?</t>
  </si>
  <si>
    <t>CMQ.90</t>
  </si>
  <si>
    <t>Was the name and contact details of the controller’s representative provided to the data subject under the right to be informed?</t>
  </si>
  <si>
    <t>CMQ.91</t>
  </si>
  <si>
    <t>Was the name and contact details of the DPO provided to the data subject under the right to be informed?</t>
  </si>
  <si>
    <t>CMQ.92</t>
  </si>
  <si>
    <t>Was the purposes for processing provided to the data subject under the right to be infomred?</t>
  </si>
  <si>
    <t>CMQ.93</t>
  </si>
  <si>
    <t>Was the legal basis for processing provided to the data subject under the right to be informed?</t>
  </si>
  <si>
    <t>CMQ.94</t>
  </si>
  <si>
    <t>Where the legal basis for processing was legitimate interest, was this communicated to the data subject under the right to be informed?</t>
  </si>
  <si>
    <t>CMQ.95</t>
  </si>
  <si>
    <t>If personal data is not obtained from the data subject, were the categories of personal data obtained communicated to the data subject under the right to be informed?</t>
  </si>
  <si>
    <t>CMQ.96</t>
  </si>
  <si>
    <t>If personal data is not obtained from the data subject, were the sources of data communicated to the data subject under the right to be informed?</t>
  </si>
  <si>
    <t>CMQ.97</t>
  </si>
  <si>
    <t>Where personal data is shared, were the recipients or categories of recipients communicated to the data subject under the right to be informed?</t>
  </si>
  <si>
    <t>CMQ.98</t>
  </si>
  <si>
    <t>If personal data is transferred to a third country or international organisation, were the identity of the third country or international organisation communicated to the data subject under the right to be informed?</t>
  </si>
  <si>
    <t>CMQ.99</t>
  </si>
  <si>
    <t>Where personal data is stored, were the retention period communicated to the data subject under the right to be informed?</t>
  </si>
  <si>
    <t>CMQ.100</t>
  </si>
  <si>
    <t>Were the rights available communicated to the data subject under the right to be informed?</t>
  </si>
  <si>
    <t>CMQ.101</t>
  </si>
  <si>
    <t>If the data subject provided consent, was the right to withdraw consent provided under the right to be informed?</t>
  </si>
  <si>
    <t>CMQ.102</t>
  </si>
  <si>
    <t>Was the right to lodge a complaint with a supervisory authority provided to the data subject under the right to be informed?</t>
  </si>
  <si>
    <t>CMQ.103</t>
  </si>
  <si>
    <t>Where personal data needs to be provided under statutory or contractual obligation, was this communicated to the data subject under the right to be informed?</t>
  </si>
  <si>
    <t>CMQ.104</t>
  </si>
  <si>
    <t>Where personal data needs to be provided under statutory or contractual obligation, and if this data needs to be obtained from the data subject, was this communicated to the data subject under the right to be informed?</t>
  </si>
  <si>
    <t>CMQ.105</t>
  </si>
  <si>
    <t>Where automated-decision making, including profiling is used, was this communicated to the data subject under the right to be informed?</t>
  </si>
  <si>
    <t>Compliance questions pertaining to reporting of data breach by controllers</t>
  </si>
  <si>
    <t>CMQ.106</t>
  </si>
  <si>
    <t>When did the data breach occur?</t>
  </si>
  <si>
    <t>CMQ.107</t>
  </si>
  <si>
    <t>R85,R33-1</t>
  </si>
  <si>
    <t>When did the controller become aware of the data breach?</t>
  </si>
  <si>
    <t>CMQ.108</t>
  </si>
  <si>
    <t>Was the data breach notified to the supervisory authority?</t>
  </si>
  <si>
    <t>CMQ.109</t>
  </si>
  <si>
    <t>R85</t>
  </si>
  <si>
    <t>When was the notification of data breach provided to the supervisory authority?</t>
  </si>
  <si>
    <t>CMQ.110</t>
  </si>
  <si>
    <t>How was the notification of data breach provided to the supervisory authority?</t>
  </si>
  <si>
    <t>CMQ.111</t>
  </si>
  <si>
    <t>R86,A33-1,A34-1</t>
  </si>
  <si>
    <t>Is the data breach likely to result in a high risk to the rights and freedoms of the natural person whose data is associated with it?</t>
  </si>
  <si>
    <t>CMQ.112</t>
  </si>
  <si>
    <t>Who are the data subjects whose personal data are associated with the data breach?</t>
  </si>
  <si>
    <t>CMQ.113</t>
  </si>
  <si>
    <t>Was the data breach notified to the data subjects?</t>
  </si>
  <si>
    <t>CMQ.114</t>
  </si>
  <si>
    <t>When was the notification of data breach provided to the data subjects?</t>
  </si>
  <si>
    <t>CMQ.115</t>
  </si>
  <si>
    <t>How was the notification of data breach provided to the data subjects?</t>
  </si>
  <si>
    <t>CMQ.116</t>
  </si>
  <si>
    <t>R86,A34-2</t>
  </si>
  <si>
    <t>How did the notification of data breach to the data subject provide information about the data breach?</t>
  </si>
  <si>
    <t>CMQ.117</t>
  </si>
  <si>
    <t>How did the notification of data breach to the data subject provide information about mitigating potential effects?</t>
  </si>
  <si>
    <t>CMQ.118</t>
  </si>
  <si>
    <t>What data was involved in the data breach?</t>
  </si>
  <si>
    <t>CMQ.119</t>
  </si>
  <si>
    <t>R88</t>
  </si>
  <si>
    <t>What technical measures were in place for the protection of data involved in the data breach?</t>
  </si>
  <si>
    <t>CMQ.120</t>
  </si>
  <si>
    <t>What steps were taken to prevent or mitigate the effects of the data breach?</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</si>
</sst>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theme="1"/>
      <name val="Arial"/>
      <scheme val="minor"/>
    </font>
    <font>
      <color theme="1"/>
      <name val="Arial"/>
    </font>
    <font>
      <i/>
      <color theme="1"/>
      <name val="Arial"/>
      <scheme val="minor"/>
    </font>
    <font>
      <u/>
      <color rgb="FF1155CC"/>
      <name val="Arial"/>
      <scheme val="minor"/>
    </font>
    <font>
      <color rgb="FF000000"/>
      <name val="Arial"/>
    </font>
    <font>
      <color rgb="FF000000"/>
      <name val="Roboto"/>
    </font>
    <font>
      <b/>
      <color theme="1"/>
      <name val="Arial"/>
    </font>
    <font>
      <u/>
      <color rgb="FF1155CC"/>
      <name val="Arial"/>
    </font>
    <font>
      <sz val="11.0"/>
      <color rgb="FF000000"/>
      <name val="Arial"/>
    </font>
    <font>
      <b/>
      <color theme="1"/>
      <name val="Arial"/>
      <scheme val="minor"/>
    </font>
    <font>
      <sz val="9.0"/>
      <color rgb="FF0A3069"/>
      <name val="Ui-monospace"/>
    </font>
    <font>
      <b/>
      <color rgb="FFFF0000"/>
      <name val="Arial"/>
      <scheme val="minor"/>
    </font>
    <font>
      <b/>
      <color theme="5"/>
      <name val="Arial"/>
      <scheme val="minor"/>
    </font>
    <font>
      <sz val="11.0"/>
      <color rgb="FF000000"/>
      <name val="Calibri"/>
    </font>
    <font>
      <sz val="11.0"/>
      <color rgb="FF1F1F1F"/>
      <name val="Roboto"/>
    </font>
    <font>
      <b/>
      <sz val="11.0"/>
      <color theme="1"/>
      <name val="Calibri"/>
    </font>
    <font>
      <sz val="11.0"/>
      <color theme="1"/>
      <name val="Calibri"/>
    </font>
    <font>
      <u/>
      <color rgb="FF0000FF"/>
      <name val="Arial"/>
    </font>
    <font>
      <sz val="8.0"/>
      <color theme="1"/>
      <name val="Arial"/>
    </font>
    <font>
      <sz val="8.0"/>
      <color rgb="FF000000"/>
      <name val="Arial"/>
    </font>
    <font>
      <u/>
      <color rgb="FF0000FF"/>
    </font>
  </fonts>
  <fills count="16">
    <fill>
      <patternFill patternType="none"/>
    </fill>
    <fill>
      <patternFill patternType="lightGray"/>
    </fill>
    <fill>
      <patternFill patternType="solid">
        <fgColor rgb="FFFBBC04"/>
        <bgColor rgb="FFFBBC04"/>
      </patternFill>
    </fill>
    <fill>
      <patternFill patternType="solid">
        <fgColor rgb="FFFF9900"/>
        <bgColor rgb="FFFF9900"/>
      </patternFill>
    </fill>
    <fill>
      <patternFill patternType="solid">
        <fgColor rgb="FFFFFFFF"/>
        <bgColor rgb="FFFFFFFF"/>
      </patternFill>
    </fill>
    <fill>
      <patternFill patternType="solid">
        <fgColor rgb="FFD0E0E3"/>
        <bgColor rgb="FFD0E0E3"/>
      </patternFill>
    </fill>
    <fill>
      <patternFill patternType="solid">
        <fgColor rgb="FFA2C4C9"/>
        <bgColor rgb="FFA2C4C9"/>
      </patternFill>
    </fill>
    <fill>
      <patternFill patternType="solid">
        <fgColor rgb="FFEFEFEF"/>
        <bgColor rgb="FFEFEFEF"/>
      </patternFill>
    </fill>
    <fill>
      <patternFill patternType="solid">
        <fgColor rgb="FFF3F3F3"/>
        <bgColor rgb="FFF3F3F3"/>
      </patternFill>
    </fill>
    <fill>
      <patternFill patternType="solid">
        <fgColor rgb="FFCFE2F3"/>
        <bgColor rgb="FFCFE2F3"/>
      </patternFill>
    </fill>
    <fill>
      <patternFill patternType="solid">
        <fgColor rgb="FFE6B8AF"/>
        <bgColor rgb="FFE6B8AF"/>
      </patternFill>
    </fill>
    <fill>
      <patternFill patternType="solid">
        <fgColor rgb="FF00FFFF"/>
        <bgColor rgb="FF00FFFF"/>
      </patternFill>
    </fill>
    <fill>
      <patternFill patternType="solid">
        <fgColor rgb="FFD9D9D9"/>
        <bgColor rgb="FFD9D9D9"/>
      </patternFill>
    </fill>
    <fill>
      <patternFill patternType="solid">
        <fgColor theme="0"/>
        <bgColor theme="0"/>
      </patternFill>
    </fill>
    <fill>
      <patternFill patternType="solid">
        <fgColor theme="6"/>
        <bgColor theme="6"/>
      </patternFill>
    </fill>
    <fill>
      <patternFill patternType="solid">
        <fgColor rgb="FFB7B7B7"/>
        <bgColor rgb="FFB7B7B7"/>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2" fontId="2" numFmtId="0" xfId="0" applyAlignment="1" applyFill="1" applyFont="1">
      <alignment shrinkToFit="0" vertical="bottom" wrapText="1"/>
    </xf>
    <xf borderId="0" fillId="2" fontId="2" numFmtId="0" xfId="0" applyAlignment="1" applyFont="1">
      <alignment vertical="bottom"/>
    </xf>
    <xf borderId="0" fillId="2" fontId="2" numFmtId="0" xfId="0" applyAlignment="1" applyFont="1">
      <alignment vertical="bottom"/>
    </xf>
    <xf borderId="0" fillId="0" fontId="1" numFmtId="0" xfId="0" applyAlignment="1" applyFont="1">
      <alignment readingOrder="0"/>
    </xf>
    <xf borderId="0" fillId="0" fontId="1" numFmtId="0" xfId="0" applyAlignment="1" applyFont="1">
      <alignment readingOrder="0" shrinkToFit="0" wrapText="0"/>
    </xf>
    <xf borderId="0" fillId="3" fontId="1" numFmtId="0" xfId="0" applyAlignment="1" applyFill="1" applyFont="1">
      <alignment readingOrder="0" shrinkToFit="0" wrapText="1"/>
    </xf>
    <xf borderId="0" fillId="0" fontId="3" numFmtId="0" xfId="0" applyAlignment="1" applyFont="1">
      <alignment readingOrder="0"/>
    </xf>
    <xf borderId="0" fillId="0" fontId="4" numFmtId="0" xfId="0" applyAlignment="1" applyFont="1">
      <alignment readingOrder="0"/>
    </xf>
    <xf borderId="0" fillId="4" fontId="5" numFmtId="0" xfId="0" applyAlignment="1" applyFill="1" applyFont="1">
      <alignment horizontal="left" readingOrder="0"/>
    </xf>
    <xf borderId="0" fillId="4" fontId="6" numFmtId="0" xfId="0" applyAlignment="1" applyFont="1">
      <alignment readingOrder="0"/>
    </xf>
    <xf borderId="0" fillId="0" fontId="1" numFmtId="0" xfId="0" applyAlignment="1" applyFont="1">
      <alignment readingOrder="0"/>
    </xf>
    <xf borderId="0" fillId="5" fontId="2" numFmtId="0" xfId="0" applyAlignment="1" applyFill="1" applyFont="1">
      <alignment vertical="bottom"/>
    </xf>
    <xf borderId="0" fillId="5" fontId="7" numFmtId="0" xfId="0" applyAlignment="1" applyFont="1">
      <alignment shrinkToFit="0" vertical="bottom" wrapText="1"/>
    </xf>
    <xf borderId="0" fillId="5" fontId="2" numFmtId="0" xfId="0" applyAlignment="1" applyFont="1">
      <alignment readingOrder="0" vertical="bottom"/>
    </xf>
    <xf borderId="0" fillId="5" fontId="8" numFmtId="0" xfId="0" applyAlignment="1" applyFont="1">
      <alignment shrinkToFit="0" vertical="bottom" wrapText="1"/>
    </xf>
    <xf borderId="0" fillId="6" fontId="7" numFmtId="0" xfId="0" applyAlignment="1" applyFill="1" applyFont="1">
      <alignment shrinkToFit="0" vertical="bottom" wrapText="1"/>
    </xf>
    <xf borderId="0" fillId="6" fontId="7" numFmtId="0" xfId="0" applyAlignment="1" applyFont="1">
      <alignment horizontal="center" shrinkToFit="0" vertical="bottom" wrapText="1"/>
    </xf>
    <xf borderId="0" fillId="6" fontId="2" numFmtId="0" xfId="0" applyAlignment="1" applyFont="1">
      <alignment vertical="bottom"/>
    </xf>
    <xf borderId="0" fillId="0" fontId="2" numFmtId="0" xfId="0" applyAlignment="1" applyFont="1">
      <alignment vertical="bottom"/>
    </xf>
    <xf borderId="0" fillId="3" fontId="2" numFmtId="0" xfId="0" applyAlignment="1" applyFont="1">
      <alignment shrinkToFit="0" vertical="bottom" wrapText="1"/>
    </xf>
    <xf borderId="0" fillId="3" fontId="2" numFmtId="0" xfId="0" applyAlignment="1" applyFont="1">
      <alignment shrinkToFit="0" wrapText="1"/>
    </xf>
    <xf borderId="0" fillId="3" fontId="2" numFmtId="0" xfId="0" applyAlignment="1" applyFont="1">
      <alignment vertical="bottom"/>
    </xf>
    <xf borderId="0" fillId="0" fontId="2" numFmtId="0" xfId="0" applyAlignment="1" applyFont="1">
      <alignment readingOrder="0"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9" numFmtId="0" xfId="0" applyAlignment="1" applyFont="1">
      <alignment readingOrder="0"/>
    </xf>
    <xf borderId="0" fillId="2" fontId="2" numFmtId="0" xfId="0" applyAlignment="1" applyFont="1">
      <alignment shrinkToFit="0" vertical="bottom" wrapText="0"/>
    </xf>
    <xf borderId="0" fillId="0" fontId="2" numFmtId="0" xfId="0" applyAlignment="1" applyFont="1">
      <alignment shrinkToFit="0" vertical="bottom" wrapText="1"/>
    </xf>
    <xf borderId="0" fillId="0" fontId="2" numFmtId="0" xfId="0" applyAlignment="1" applyFont="1">
      <alignment vertical="top"/>
    </xf>
    <xf borderId="0" fillId="0" fontId="2" numFmtId="0" xfId="0" applyAlignment="1" applyFont="1">
      <alignment shrinkToFit="0" vertical="top" wrapText="1"/>
    </xf>
    <xf borderId="0" fillId="5" fontId="10" numFmtId="0" xfId="0" applyAlignment="1" applyFont="1">
      <alignment readingOrder="0" shrinkToFit="0" vertical="center" wrapText="1"/>
    </xf>
    <xf borderId="0" fillId="5" fontId="10" numFmtId="0" xfId="0" applyAlignment="1" applyFont="1">
      <alignment readingOrder="0" vertical="center"/>
    </xf>
    <xf borderId="0" fillId="5" fontId="1" numFmtId="0" xfId="0" applyFont="1"/>
    <xf borderId="0" fillId="0" fontId="10" numFmtId="0" xfId="0" applyAlignment="1" applyFont="1">
      <alignment readingOrder="0" shrinkToFit="0" vertical="center" wrapText="1"/>
    </xf>
    <xf borderId="0" fillId="7" fontId="1" numFmtId="0" xfId="0" applyAlignment="1" applyFill="1" applyFont="1">
      <alignment readingOrder="0" shrinkToFit="0" vertical="center" wrapText="1"/>
    </xf>
    <xf borderId="0" fillId="0" fontId="1" numFmtId="0" xfId="0" applyAlignment="1" applyFont="1">
      <alignment readingOrder="0" shrinkToFit="0" vertical="center" wrapText="1"/>
    </xf>
    <xf borderId="0" fillId="8" fontId="1" numFmtId="0" xfId="0" applyAlignment="1" applyFill="1" applyFont="1">
      <alignment readingOrder="0" vertical="center"/>
    </xf>
    <xf borderId="0" fillId="0" fontId="1" numFmtId="0" xfId="0" applyAlignment="1" applyFont="1">
      <alignment readingOrder="0" vertical="center"/>
    </xf>
    <xf borderId="0" fillId="9" fontId="10" numFmtId="0" xfId="0" applyAlignment="1" applyFill="1" applyFont="1">
      <alignment readingOrder="0" shrinkToFit="0" vertical="center" wrapText="1"/>
    </xf>
    <xf borderId="0" fillId="9" fontId="1" numFmtId="0" xfId="0" applyAlignment="1" applyFont="1">
      <alignment readingOrder="0" shrinkToFit="0" vertical="center" wrapText="1"/>
    </xf>
    <xf borderId="0" fillId="9" fontId="1" numFmtId="0" xfId="0" applyAlignment="1" applyFont="1">
      <alignment readingOrder="0" vertical="center"/>
    </xf>
    <xf borderId="0" fillId="9" fontId="1" numFmtId="0" xfId="0" applyAlignment="1" applyFont="1">
      <alignment readingOrder="0" shrinkToFit="0" wrapText="1"/>
    </xf>
    <xf borderId="0" fillId="9" fontId="1" numFmtId="0" xfId="0" applyFont="1"/>
    <xf borderId="0" fillId="10" fontId="10" numFmtId="0" xfId="0" applyAlignment="1" applyFill="1" applyFont="1">
      <alignment readingOrder="0" shrinkToFit="0" vertical="center" wrapText="1"/>
    </xf>
    <xf borderId="0" fillId="10" fontId="1" numFmtId="0" xfId="0" applyAlignment="1" applyFont="1">
      <alignment readingOrder="0" shrinkToFit="0" vertical="center" wrapText="1"/>
    </xf>
    <xf borderId="0" fillId="10" fontId="1" numFmtId="0" xfId="0" applyAlignment="1" applyFont="1">
      <alignment readingOrder="0" vertical="center"/>
    </xf>
    <xf borderId="0" fillId="10" fontId="1" numFmtId="0" xfId="0" applyFont="1"/>
    <xf borderId="0" fillId="7" fontId="11" numFmtId="0" xfId="0" applyAlignment="1" applyFont="1">
      <alignment readingOrder="0" shrinkToFit="0" vertical="center" wrapText="1"/>
    </xf>
    <xf borderId="0" fillId="0" fontId="12" numFmtId="0" xfId="0" applyAlignment="1" applyFont="1">
      <alignment readingOrder="0" vertical="center"/>
    </xf>
    <xf borderId="0" fillId="8" fontId="13" numFmtId="0" xfId="0" applyAlignment="1" applyFont="1">
      <alignment readingOrder="0" vertical="center"/>
    </xf>
    <xf borderId="0" fillId="0" fontId="1" numFmtId="0" xfId="0" applyAlignment="1" applyFont="1">
      <alignment shrinkToFit="0" vertical="center" wrapText="1"/>
    </xf>
    <xf borderId="0" fillId="0" fontId="1" numFmtId="0" xfId="0" applyAlignment="1" applyFont="1">
      <alignment vertical="center"/>
    </xf>
    <xf borderId="0" fillId="0" fontId="10" numFmtId="0" xfId="0" applyAlignment="1" applyFont="1">
      <alignment readingOrder="0"/>
    </xf>
    <xf borderId="0" fillId="0" fontId="14" numFmtId="0" xfId="0" applyAlignment="1" applyFont="1">
      <alignment readingOrder="0" shrinkToFit="0" vertical="bottom" wrapText="0"/>
    </xf>
    <xf borderId="0" fillId="0" fontId="1" numFmtId="0" xfId="0" applyFont="1"/>
    <xf borderId="0" fillId="0" fontId="5" numFmtId="0" xfId="0" applyAlignment="1" applyFont="1">
      <alignment readingOrder="0" shrinkToFit="0" wrapText="0"/>
    </xf>
    <xf borderId="0" fillId="0" fontId="5" numFmtId="0" xfId="0" applyAlignment="1" applyFont="1">
      <alignment readingOrder="0" shrinkToFit="0" vertical="bottom" wrapText="0"/>
    </xf>
    <xf borderId="0" fillId="0" fontId="15" numFmtId="0" xfId="0" applyAlignment="1" applyFont="1">
      <alignment readingOrder="0" shrinkToFit="0" vertical="bottom" wrapText="0"/>
    </xf>
    <xf borderId="0" fillId="4" fontId="5" numFmtId="0" xfId="0" applyAlignment="1" applyFont="1">
      <alignment readingOrder="0"/>
    </xf>
    <xf borderId="0" fillId="11" fontId="1" numFmtId="0" xfId="0" applyAlignment="1" applyFill="1" applyFont="1">
      <alignment readingOrder="0"/>
    </xf>
    <xf borderId="0" fillId="11" fontId="1" numFmtId="0" xfId="0" applyFont="1"/>
    <xf borderId="0" fillId="12" fontId="16" numFmtId="0" xfId="0" applyAlignment="1" applyFill="1" applyFont="1">
      <alignment shrinkToFit="0" vertical="bottom" wrapText="1"/>
    </xf>
    <xf borderId="0" fillId="12" fontId="7" numFmtId="0" xfId="0" applyAlignment="1" applyFont="1">
      <alignment shrinkToFit="0" vertical="bottom" wrapText="1"/>
    </xf>
    <xf borderId="0" fillId="12" fontId="16" numFmtId="0" xfId="0" applyAlignment="1" applyFont="1">
      <alignment shrinkToFit="0" vertical="bottom" wrapText="1"/>
    </xf>
    <xf borderId="0" fillId="0" fontId="17" numFmtId="0" xfId="0" applyAlignment="1" applyFont="1">
      <alignment vertical="bottom"/>
    </xf>
    <xf borderId="0" fillId="0" fontId="17" numFmtId="0" xfId="0" applyAlignment="1" applyFont="1">
      <alignment horizontal="right" vertical="bottom"/>
    </xf>
    <xf borderId="0" fillId="0" fontId="17" numFmtId="0" xfId="0" applyAlignment="1" applyFont="1">
      <alignment shrinkToFit="0" vertical="bottom" wrapText="0"/>
    </xf>
    <xf borderId="0" fillId="0" fontId="17" numFmtId="0" xfId="0" applyAlignment="1" applyFont="1">
      <alignment vertical="bottom"/>
    </xf>
    <xf borderId="0" fillId="13" fontId="2" numFmtId="0" xfId="0" applyAlignment="1" applyFill="1" applyFont="1">
      <alignment shrinkToFit="0" vertical="bottom" wrapText="1"/>
    </xf>
    <xf borderId="0" fillId="13" fontId="2" numFmtId="0" xfId="0" applyAlignment="1" applyFont="1">
      <alignment vertical="bottom"/>
    </xf>
    <xf borderId="0" fillId="0" fontId="18" numFmtId="0" xfId="0" applyAlignment="1" applyFont="1">
      <alignment readingOrder="0" shrinkToFit="0" vertical="bottom" wrapText="0"/>
    </xf>
    <xf borderId="0" fillId="14" fontId="2" numFmtId="0" xfId="0" applyAlignment="1" applyFill="1" applyFont="1">
      <alignment readingOrder="0" shrinkToFit="0" vertical="bottom" wrapText="1"/>
    </xf>
    <xf borderId="0" fillId="14" fontId="2" numFmtId="0" xfId="0" applyAlignment="1" applyFont="1">
      <alignment shrinkToFit="0" vertical="bottom" wrapText="1"/>
    </xf>
    <xf borderId="0" fillId="14" fontId="2" numFmtId="0" xfId="0" applyAlignment="1" applyFont="1">
      <alignment vertical="bottom"/>
    </xf>
    <xf borderId="0" fillId="0" fontId="19" numFmtId="0" xfId="0" applyAlignment="1" applyFont="1">
      <alignment readingOrder="0" shrinkToFit="0" vertical="bottom" wrapText="1"/>
    </xf>
    <xf borderId="0" fillId="0" fontId="20" numFmtId="0" xfId="0" applyAlignment="1" applyFont="1">
      <alignment readingOrder="0"/>
    </xf>
    <xf borderId="0" fillId="13" fontId="19" numFmtId="0" xfId="0" applyAlignment="1" applyFont="1">
      <alignment readingOrder="0" shrinkToFit="0" vertical="bottom" wrapText="1"/>
    </xf>
    <xf borderId="0" fillId="13" fontId="19" numFmtId="0" xfId="0" applyAlignment="1" applyFont="1">
      <alignment readingOrder="0" shrinkToFit="0" vertical="bottom" wrapText="0"/>
    </xf>
    <xf borderId="0" fillId="13" fontId="19" numFmtId="0" xfId="0" applyAlignment="1" applyFont="1">
      <alignment shrinkToFit="0" vertical="bottom" wrapText="1"/>
    </xf>
    <xf borderId="0" fillId="13" fontId="19" numFmtId="0" xfId="0" applyAlignment="1" applyFont="1">
      <alignment readingOrder="0" vertical="bottom"/>
    </xf>
    <xf borderId="0" fillId="13" fontId="19" numFmtId="0" xfId="0" applyAlignment="1" applyFont="1">
      <alignment vertical="bottom"/>
    </xf>
    <xf borderId="0" fillId="0" fontId="19" numFmtId="0" xfId="0" applyAlignment="1" applyFont="1">
      <alignment readingOrder="0" shrinkToFit="0" vertical="bottom" wrapText="0"/>
    </xf>
    <xf borderId="0" fillId="3" fontId="19" numFmtId="0" xfId="0" applyAlignment="1" applyFont="1">
      <alignment shrinkToFit="0" vertical="bottom" wrapText="1"/>
    </xf>
    <xf borderId="0" fillId="3" fontId="19" numFmtId="0" xfId="0" applyAlignment="1" applyFont="1">
      <alignment readingOrder="0" shrinkToFit="0" vertical="bottom" wrapText="1"/>
    </xf>
    <xf borderId="0" fillId="3" fontId="19" numFmtId="0" xfId="0" applyAlignment="1" applyFont="1">
      <alignment readingOrder="0" vertical="bottom"/>
    </xf>
    <xf borderId="0" fillId="3" fontId="19" numFmtId="0" xfId="0" applyAlignment="1" applyFont="1">
      <alignment vertical="bottom"/>
    </xf>
    <xf borderId="0" fillId="4" fontId="6" numFmtId="0" xfId="0" applyAlignment="1" applyFont="1">
      <alignment readingOrder="0" shrinkToFit="0" wrapText="1"/>
    </xf>
    <xf borderId="0" fillId="3" fontId="2" numFmtId="0" xfId="0" applyAlignment="1" applyFont="1">
      <alignment shrinkToFit="0" wrapText="0"/>
    </xf>
    <xf borderId="0" fillId="3" fontId="2" numFmtId="0" xfId="0" applyAlignment="1" applyFont="1">
      <alignment shrinkToFit="0" vertical="bottom" wrapText="0"/>
    </xf>
    <xf borderId="0" fillId="3" fontId="2" numFmtId="0" xfId="0" applyAlignment="1" applyFont="1">
      <alignment readingOrder="0" vertical="bottom"/>
    </xf>
    <xf borderId="0" fillId="0" fontId="1" numFmtId="0" xfId="0" applyFont="1"/>
    <xf borderId="0" fillId="13" fontId="2" numFmtId="0" xfId="0" applyFont="1"/>
    <xf borderId="0" fillId="0" fontId="1" numFmtId="0" xfId="0" applyAlignment="1" applyFont="1">
      <alignment shrinkToFit="0" wrapText="0"/>
    </xf>
    <xf borderId="1" fillId="2" fontId="2" numFmtId="0" xfId="0" applyAlignment="1" applyBorder="1" applyFont="1">
      <alignment shrinkToFit="0" vertical="bottom" wrapText="0"/>
    </xf>
    <xf borderId="0" fillId="0" fontId="21" numFmtId="0" xfId="0" applyFont="1"/>
    <xf borderId="0" fillId="0" fontId="1" numFmtId="10" xfId="0" applyFont="1" applyNumberFormat="1"/>
    <xf borderId="0" fillId="0" fontId="10" numFmtId="0" xfId="0" applyAlignment="1" applyFont="1">
      <alignment readingOrder="0" shrinkToFit="0" wrapText="1"/>
    </xf>
    <xf borderId="0" fillId="0" fontId="10" numFmtId="0" xfId="0" applyAlignment="1" applyFont="1">
      <alignment shrinkToFit="0" wrapText="1"/>
    </xf>
    <xf borderId="0" fillId="15" fontId="1" numFmtId="0" xfId="0" applyAlignment="1" applyFill="1" applyFont="1">
      <alignment readingOrder="0"/>
    </xf>
    <xf borderId="0" fillId="15" fontId="1" numFmtId="0" xfId="0" applyAlignment="1" applyFont="1">
      <alignment readingOrder="0" shrinkToFit="0" wrapText="1"/>
    </xf>
    <xf borderId="0" fillId="15" fontId="1" numFmtId="0" xfId="0" applyFont="1"/>
    <xf borderId="0" fillId="15"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iso.org/isoiec-27001-information-security.html" TargetMode="External"/><Relationship Id="rId3" Type="http://schemas.openxmlformats.org/officeDocument/2006/relationships/hyperlink" Target="https://www.iso.org/committee/45306.html" TargetMode="External"/><Relationship Id="rId4" Type="http://schemas.openxmlformats.org/officeDocument/2006/relationships/drawing" Target="../drawings/drawing6.xml"/><Relationship Id="rId5"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iso.org/isoiec-27001-information-security.html" TargetMode="External"/><Relationship Id="rId3" Type="http://schemas.openxmlformats.org/officeDocument/2006/relationships/hyperlink" Target="https://www.iso.org/committee/45306.html" TargetMode="External"/><Relationship Id="rId4" Type="http://schemas.openxmlformats.org/officeDocument/2006/relationships/drawing" Target="../drawings/drawing7.xml"/><Relationship Id="rId5"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iso.org/isoiec-27001-information-security.html" TargetMode="External"/><Relationship Id="rId3" Type="http://schemas.openxmlformats.org/officeDocument/2006/relationships/hyperlink" Target="https://www.iso.org/committee/45306.html" TargetMode="External"/><Relationship Id="rId4" Type="http://schemas.openxmlformats.org/officeDocument/2006/relationships/drawing" Target="../drawings/drawing8.xml"/><Relationship Id="rId5"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eur-lex.europa.eu/legal-content/EN/TXT/HTML/?uri=CELEX:52021PC0206&amp;from=EN"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s://eur-lex.europa.eu/legal-content/EN/TXT/?uri=CELEX:52021PC0206" TargetMode="External"/><Relationship Id="rId22" Type="http://schemas.openxmlformats.org/officeDocument/2006/relationships/hyperlink" Target="https://eur-lex.europa.eu/legal-content/EN/TXT/?uri=CELEX:52021PC0206" TargetMode="External"/><Relationship Id="rId21" Type="http://schemas.openxmlformats.org/officeDocument/2006/relationships/hyperlink" Target="https://eur-lex.europa.eu/legal-content/EN/TXT/?uri=CELEX:52021PC0206" TargetMode="External"/><Relationship Id="rId24" Type="http://schemas.openxmlformats.org/officeDocument/2006/relationships/hyperlink" Target="https://eur-lex.europa.eu/legal-content/EN/TXT/?uri=CELEX:52021PC0206" TargetMode="External"/><Relationship Id="rId23" Type="http://schemas.openxmlformats.org/officeDocument/2006/relationships/hyperlink" Target="https://eur-lex.europa.eu/legal-content/EN/TXT/?uri=CELEX:52021PC0206" TargetMode="External"/><Relationship Id="rId1" Type="http://schemas.openxmlformats.org/officeDocument/2006/relationships/hyperlink" Target="https://eur-lex.europa.eu/legal-content/EN/TXT/?uri=CELEX:52021PC0206" TargetMode="External"/><Relationship Id="rId2" Type="http://schemas.openxmlformats.org/officeDocument/2006/relationships/hyperlink" Target="https://eur-lex.europa.eu/legal-content/EN/TXT/?uri=CELEX:52021PC0206" TargetMode="External"/><Relationship Id="rId3" Type="http://schemas.openxmlformats.org/officeDocument/2006/relationships/hyperlink" Target="https://eur-lex.europa.eu/legal-content/EN/TXT/?uri=CELEX:52021PC0206" TargetMode="External"/><Relationship Id="rId4" Type="http://schemas.openxmlformats.org/officeDocument/2006/relationships/hyperlink" Target="https://eur-lex.europa.eu/legal-content/EN/TXT/?uri=CELEX:52021PC0206" TargetMode="External"/><Relationship Id="rId9" Type="http://schemas.openxmlformats.org/officeDocument/2006/relationships/hyperlink" Target="https://eur-lex.europa.eu/legal-content/EN/TXT/?uri=CELEX:52021PC0206" TargetMode="External"/><Relationship Id="rId26" Type="http://schemas.openxmlformats.org/officeDocument/2006/relationships/hyperlink" Target="https://eur-lex.europa.eu/legal-content/EN/TXT/?uri=CELEX:52021PC0206" TargetMode="External"/><Relationship Id="rId25" Type="http://schemas.openxmlformats.org/officeDocument/2006/relationships/hyperlink" Target="https://eur-lex.europa.eu/legal-content/EN/TXT/?uri=CELEX:52021PC0206" TargetMode="External"/><Relationship Id="rId28" Type="http://schemas.openxmlformats.org/officeDocument/2006/relationships/drawing" Target="../drawings/drawing13.xml"/><Relationship Id="rId27" Type="http://schemas.openxmlformats.org/officeDocument/2006/relationships/hyperlink" Target="https://eur-lex.europa.eu/legal-content/EN/TXT/?uri=CELEX:52021PC0206" TargetMode="External"/><Relationship Id="rId5" Type="http://schemas.openxmlformats.org/officeDocument/2006/relationships/hyperlink" Target="https://eur-lex.europa.eu/legal-content/EN/TXT/?uri=CELEX:52021PC0206" TargetMode="External"/><Relationship Id="rId6" Type="http://schemas.openxmlformats.org/officeDocument/2006/relationships/hyperlink" Target="https://eur-lex.europa.eu/legal-content/EN/TXT/?uri=CELEX:52021PC0206" TargetMode="External"/><Relationship Id="rId7" Type="http://schemas.openxmlformats.org/officeDocument/2006/relationships/hyperlink" Target="https://eur-lex.europa.eu/legal-content/EN/TXT/?uri=CELEX:52021PC0206" TargetMode="External"/><Relationship Id="rId8" Type="http://schemas.openxmlformats.org/officeDocument/2006/relationships/hyperlink" Target="https://eur-lex.europa.eu/legal-content/EN/TXT/?uri=CELEX:52021PC0206" TargetMode="External"/><Relationship Id="rId11" Type="http://schemas.openxmlformats.org/officeDocument/2006/relationships/hyperlink" Target="https://eur-lex.europa.eu/legal-content/EN/TXT/?uri=CELEX:52021PC0206" TargetMode="External"/><Relationship Id="rId10" Type="http://schemas.openxmlformats.org/officeDocument/2006/relationships/hyperlink" Target="https://eur-lex.europa.eu/legal-content/EN/TXT/?uri=CELEX:52021PC0206" TargetMode="External"/><Relationship Id="rId13" Type="http://schemas.openxmlformats.org/officeDocument/2006/relationships/hyperlink" Target="https://eur-lex.europa.eu/legal-content/EN/TXT/?uri=CELEX:52021PC0206" TargetMode="External"/><Relationship Id="rId12" Type="http://schemas.openxmlformats.org/officeDocument/2006/relationships/hyperlink" Target="https://eur-lex.europa.eu/legal-content/EN/TXT/?uri=CELEX:52021PC0206" TargetMode="External"/><Relationship Id="rId15" Type="http://schemas.openxmlformats.org/officeDocument/2006/relationships/hyperlink" Target="https://eur-lex.europa.eu/legal-content/EN/TXT/?uri=CELEX:52021PC0206" TargetMode="External"/><Relationship Id="rId14" Type="http://schemas.openxmlformats.org/officeDocument/2006/relationships/hyperlink" Target="https://eur-lex.europa.eu/legal-content/EN/TXT/?uri=CELEX:52021PC0206" TargetMode="External"/><Relationship Id="rId17" Type="http://schemas.openxmlformats.org/officeDocument/2006/relationships/hyperlink" Target="https://eur-lex.europa.eu/legal-content/EN/TXT/?uri=CELEX:52021PC0206" TargetMode="External"/><Relationship Id="rId16" Type="http://schemas.openxmlformats.org/officeDocument/2006/relationships/hyperlink" Target="https://eur-lex.europa.eu/legal-content/EN/TXT/?uri=CELEX:52021PC0206" TargetMode="External"/><Relationship Id="rId19" Type="http://schemas.openxmlformats.org/officeDocument/2006/relationships/hyperlink" Target="https://eur-lex.europa.eu/legal-content/EN/TXT/?uri=CELEX:52021PC0206" TargetMode="External"/><Relationship Id="rId18" Type="http://schemas.openxmlformats.org/officeDocument/2006/relationships/hyperlink" Target="https://eur-lex.europa.eu/legal-content/EN/TXT/?uri=CELEX:52021PC0206"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s>
  <sheetData>
    <row r="1">
      <c r="A1" s="1" t="s">
        <v>0</v>
      </c>
      <c r="B1" s="2"/>
      <c r="C1" s="2"/>
      <c r="D1" s="2"/>
      <c r="E1" s="2"/>
      <c r="F1" s="2"/>
      <c r="G1" s="2"/>
      <c r="H1" s="2"/>
      <c r="I1" s="2"/>
      <c r="J1" s="2"/>
      <c r="K1" s="2"/>
      <c r="L1" s="2"/>
      <c r="M1" s="2"/>
      <c r="N1" s="2"/>
    </row>
    <row r="2">
      <c r="A2" s="1" t="s">
        <v>1</v>
      </c>
      <c r="B2" s="1" t="s">
        <v>2</v>
      </c>
      <c r="C2" s="1" t="s">
        <v>3</v>
      </c>
      <c r="F2" s="1"/>
      <c r="G2" s="2"/>
      <c r="H2" s="2"/>
      <c r="I2" s="2"/>
      <c r="J2" s="2"/>
      <c r="K2" s="2"/>
      <c r="L2" s="2"/>
      <c r="M2" s="2"/>
      <c r="N2" s="2"/>
    </row>
    <row r="3">
      <c r="A3" s="1" t="s">
        <v>1</v>
      </c>
      <c r="B3" s="1" t="s">
        <v>4</v>
      </c>
      <c r="C3" s="1" t="s">
        <v>5</v>
      </c>
      <c r="F3" s="1"/>
      <c r="G3" s="2"/>
      <c r="H3" s="2"/>
      <c r="I3" s="2"/>
      <c r="J3" s="2"/>
      <c r="K3" s="2"/>
      <c r="L3" s="2"/>
      <c r="M3" s="2"/>
      <c r="N3" s="2"/>
    </row>
    <row r="4">
      <c r="A4" s="3" t="s">
        <v>6</v>
      </c>
      <c r="B4" s="3" t="s">
        <v>7</v>
      </c>
      <c r="C4" s="4"/>
      <c r="D4" s="5"/>
      <c r="E4" s="5"/>
      <c r="F4" s="4"/>
      <c r="G4" s="5"/>
      <c r="H4" s="5"/>
      <c r="I4" s="5"/>
      <c r="J4" s="5"/>
      <c r="K4" s="5"/>
      <c r="L4" s="5"/>
      <c r="M4" s="5"/>
      <c r="N4" s="5"/>
    </row>
    <row r="5">
      <c r="A5" s="1" t="s">
        <v>8</v>
      </c>
      <c r="B5" s="6" t="s">
        <v>9</v>
      </c>
      <c r="C5" s="1"/>
      <c r="F5" s="1"/>
      <c r="G5" s="2"/>
      <c r="H5" s="2"/>
      <c r="I5" s="2"/>
      <c r="J5" s="2"/>
      <c r="K5" s="2"/>
      <c r="L5" s="2"/>
      <c r="M5" s="2"/>
      <c r="N5" s="2"/>
    </row>
    <row r="6">
      <c r="A6" s="1" t="s">
        <v>10</v>
      </c>
      <c r="B6" s="7" t="s">
        <v>11</v>
      </c>
      <c r="C6" s="1"/>
      <c r="F6" s="1"/>
      <c r="G6" s="2"/>
      <c r="H6" s="2"/>
      <c r="I6" s="2"/>
      <c r="J6" s="2"/>
      <c r="K6" s="2"/>
      <c r="L6" s="2"/>
      <c r="M6" s="2"/>
      <c r="N6" s="2"/>
    </row>
    <row r="7">
      <c r="A7" s="1" t="s">
        <v>12</v>
      </c>
      <c r="B7" s="7" t="s">
        <v>13</v>
      </c>
      <c r="C7" s="1"/>
      <c r="F7" s="1"/>
      <c r="G7" s="2"/>
      <c r="H7" s="2"/>
      <c r="I7" s="2"/>
      <c r="J7" s="2"/>
      <c r="K7" s="2"/>
      <c r="L7" s="2"/>
      <c r="M7" s="2"/>
      <c r="N7" s="2"/>
    </row>
    <row r="8">
      <c r="A8" s="1" t="s">
        <v>14</v>
      </c>
      <c r="B8" s="7" t="s">
        <v>15</v>
      </c>
      <c r="C8" s="1"/>
      <c r="F8" s="1"/>
      <c r="G8" s="2"/>
      <c r="H8" s="2"/>
      <c r="I8" s="2"/>
      <c r="J8" s="2"/>
      <c r="K8" s="2"/>
      <c r="L8" s="2"/>
      <c r="M8" s="2"/>
      <c r="N8" s="2"/>
    </row>
    <row r="9">
      <c r="A9" s="1" t="s">
        <v>16</v>
      </c>
      <c r="B9" s="7" t="s">
        <v>17</v>
      </c>
      <c r="C9" s="1"/>
      <c r="F9" s="1"/>
      <c r="G9" s="2"/>
      <c r="H9" s="2"/>
      <c r="I9" s="2"/>
      <c r="J9" s="2"/>
      <c r="K9" s="2"/>
      <c r="L9" s="2"/>
      <c r="M9" s="2"/>
      <c r="N9" s="2"/>
    </row>
    <row r="10">
      <c r="A10" s="8" t="s">
        <v>18</v>
      </c>
      <c r="B10" s="8" t="s">
        <v>19</v>
      </c>
      <c r="C10" s="8" t="s">
        <v>20</v>
      </c>
      <c r="D10" s="8" t="s">
        <v>21</v>
      </c>
      <c r="E10" s="8" t="s">
        <v>22</v>
      </c>
      <c r="F10" s="8" t="s">
        <v>23</v>
      </c>
      <c r="G10" s="8" t="s">
        <v>24</v>
      </c>
      <c r="H10" s="8" t="s">
        <v>25</v>
      </c>
      <c r="I10" s="8" t="s">
        <v>25</v>
      </c>
      <c r="J10" s="8" t="s">
        <v>25</v>
      </c>
      <c r="K10" s="8" t="s">
        <v>25</v>
      </c>
      <c r="L10" s="8" t="s">
        <v>26</v>
      </c>
      <c r="M10" s="8" t="s">
        <v>27</v>
      </c>
      <c r="N10" s="8" t="s">
        <v>28</v>
      </c>
    </row>
    <row r="11">
      <c r="A11" s="6" t="s">
        <v>29</v>
      </c>
      <c r="B11" s="6">
        <v>3.1</v>
      </c>
      <c r="C11" s="9" t="s">
        <v>30</v>
      </c>
      <c r="E11" s="6"/>
      <c r="H11" s="6"/>
    </row>
    <row r="12">
      <c r="A12" s="6" t="s">
        <v>31</v>
      </c>
      <c r="B12" s="6">
        <v>3.2</v>
      </c>
      <c r="C12" s="6" t="s">
        <v>32</v>
      </c>
      <c r="E12" s="6"/>
      <c r="H12" s="6"/>
    </row>
    <row r="13">
      <c r="A13" s="6" t="s">
        <v>33</v>
      </c>
      <c r="B13" s="6">
        <v>3.3</v>
      </c>
      <c r="C13" s="6" t="s">
        <v>34</v>
      </c>
      <c r="E13" s="6"/>
      <c r="H13" s="6"/>
    </row>
    <row r="14">
      <c r="A14" s="6" t="s">
        <v>35</v>
      </c>
      <c r="B14" s="6">
        <v>3.4</v>
      </c>
      <c r="C14" s="6" t="s">
        <v>36</v>
      </c>
      <c r="E14" s="6" t="s">
        <v>37</v>
      </c>
      <c r="H14" s="6"/>
    </row>
    <row r="15">
      <c r="A15" s="6" t="s">
        <v>38</v>
      </c>
      <c r="B15" s="6">
        <v>3.5</v>
      </c>
      <c r="C15" s="6" t="s">
        <v>39</v>
      </c>
      <c r="E15" s="6"/>
      <c r="H15" s="6"/>
    </row>
    <row r="16">
      <c r="A16" s="6" t="s">
        <v>40</v>
      </c>
      <c r="B16" s="6">
        <v>3.6</v>
      </c>
      <c r="C16" s="6" t="s">
        <v>41</v>
      </c>
      <c r="E16" s="6"/>
      <c r="H16" s="6"/>
    </row>
    <row r="17">
      <c r="A17" s="6" t="s">
        <v>42</v>
      </c>
      <c r="B17" s="6">
        <v>3.7</v>
      </c>
      <c r="C17" s="6" t="s">
        <v>43</v>
      </c>
      <c r="E17" s="6"/>
      <c r="H17" s="6"/>
    </row>
    <row r="18">
      <c r="A18" s="6" t="s">
        <v>44</v>
      </c>
      <c r="B18" s="6">
        <v>3.8</v>
      </c>
      <c r="C18" s="6" t="s">
        <v>45</v>
      </c>
    </row>
    <row r="19">
      <c r="A19" s="6" t="s">
        <v>46</v>
      </c>
      <c r="B19" s="6">
        <v>3.9</v>
      </c>
      <c r="C19" s="6" t="s">
        <v>47</v>
      </c>
    </row>
    <row r="20">
      <c r="A20" s="6" t="s">
        <v>48</v>
      </c>
      <c r="B20" s="6">
        <v>3.101</v>
      </c>
      <c r="C20" s="6" t="s">
        <v>49</v>
      </c>
    </row>
    <row r="21">
      <c r="A21" s="6" t="s">
        <v>50</v>
      </c>
      <c r="B21" s="6">
        <v>3.11</v>
      </c>
      <c r="C21" s="6" t="s">
        <v>51</v>
      </c>
    </row>
    <row r="22">
      <c r="A22" s="6" t="s">
        <v>52</v>
      </c>
      <c r="B22" s="6">
        <v>3.12</v>
      </c>
      <c r="C22" s="6" t="s">
        <v>53</v>
      </c>
    </row>
    <row r="23">
      <c r="A23" s="6" t="s">
        <v>54</v>
      </c>
      <c r="B23" s="6">
        <v>3.13</v>
      </c>
      <c r="C23" s="6" t="s">
        <v>55</v>
      </c>
      <c r="M23" s="10"/>
    </row>
    <row r="24">
      <c r="A24" s="6" t="s">
        <v>56</v>
      </c>
      <c r="B24" s="6">
        <v>3.14</v>
      </c>
      <c r="C24" s="6" t="s">
        <v>57</v>
      </c>
    </row>
    <row r="25">
      <c r="A25" s="6" t="s">
        <v>58</v>
      </c>
      <c r="B25" s="6">
        <v>3.15</v>
      </c>
      <c r="C25" s="6" t="s">
        <v>59</v>
      </c>
    </row>
    <row r="26">
      <c r="A26" s="6" t="s">
        <v>60</v>
      </c>
      <c r="B26" s="6">
        <v>3.16</v>
      </c>
      <c r="C26" s="6" t="s">
        <v>61</v>
      </c>
    </row>
    <row r="27">
      <c r="A27" s="6" t="s">
        <v>62</v>
      </c>
      <c r="B27" s="6">
        <v>3.17</v>
      </c>
      <c r="C27" s="6" t="s">
        <v>63</v>
      </c>
    </row>
    <row r="28">
      <c r="A28" s="6" t="s">
        <v>64</v>
      </c>
      <c r="B28" s="6">
        <v>3.18</v>
      </c>
      <c r="C28" s="6" t="s">
        <v>65</v>
      </c>
      <c r="H28" s="11"/>
    </row>
    <row r="29">
      <c r="A29" s="6" t="s">
        <v>66</v>
      </c>
      <c r="B29" s="6">
        <v>3.19</v>
      </c>
      <c r="C29" s="6" t="s">
        <v>67</v>
      </c>
    </row>
    <row r="31">
      <c r="L31" s="10"/>
    </row>
    <row r="39">
      <c r="M39" s="10"/>
    </row>
    <row r="42">
      <c r="L42" s="10"/>
    </row>
    <row r="49">
      <c r="L49" s="10"/>
    </row>
    <row r="53">
      <c r="F53" s="12"/>
    </row>
    <row r="61">
      <c r="L61" s="10"/>
    </row>
    <row r="91">
      <c r="L91" s="12"/>
    </row>
    <row r="95">
      <c r="L95" s="10"/>
    </row>
    <row r="97">
      <c r="L97" s="10"/>
    </row>
    <row r="123">
      <c r="L123" s="1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68</v>
      </c>
      <c r="B1" s="2"/>
      <c r="C1" s="2"/>
      <c r="D1" s="2"/>
      <c r="E1" s="2"/>
      <c r="F1" s="2"/>
      <c r="G1" s="2"/>
      <c r="H1" s="2"/>
      <c r="I1" s="2"/>
      <c r="J1" s="2"/>
      <c r="K1" s="2"/>
      <c r="L1" s="2"/>
      <c r="M1" s="2"/>
      <c r="N1" s="2"/>
    </row>
    <row r="2">
      <c r="A2" s="1" t="s">
        <v>1</v>
      </c>
      <c r="B2" s="1" t="s">
        <v>2</v>
      </c>
      <c r="C2" s="1" t="s">
        <v>3</v>
      </c>
      <c r="F2" s="1"/>
      <c r="G2" s="2"/>
      <c r="H2" s="2"/>
      <c r="I2" s="2"/>
      <c r="J2" s="2"/>
      <c r="K2" s="2"/>
      <c r="L2" s="2"/>
      <c r="M2" s="2"/>
      <c r="N2" s="2"/>
    </row>
    <row r="3">
      <c r="A3" s="1" t="s">
        <v>1</v>
      </c>
      <c r="B3" s="1" t="s">
        <v>4</v>
      </c>
      <c r="C3" s="1" t="s">
        <v>5</v>
      </c>
      <c r="F3" s="1"/>
      <c r="G3" s="2"/>
      <c r="H3" s="2"/>
      <c r="I3" s="2"/>
      <c r="J3" s="2"/>
      <c r="K3" s="2"/>
      <c r="L3" s="2"/>
      <c r="M3" s="2"/>
      <c r="N3" s="2"/>
    </row>
    <row r="4">
      <c r="A4" s="3" t="s">
        <v>6</v>
      </c>
      <c r="B4" s="3" t="s">
        <v>7</v>
      </c>
      <c r="C4" s="4"/>
      <c r="D4" s="5"/>
      <c r="E4" s="5"/>
      <c r="F4" s="4"/>
      <c r="G4" s="5"/>
      <c r="H4" s="5"/>
      <c r="I4" s="5"/>
      <c r="J4" s="5"/>
      <c r="K4" s="5"/>
      <c r="L4" s="5"/>
      <c r="M4" s="5"/>
      <c r="N4" s="5"/>
    </row>
    <row r="5">
      <c r="A5" s="1" t="s">
        <v>8</v>
      </c>
      <c r="B5" s="6" t="s">
        <v>9</v>
      </c>
      <c r="C5" s="1"/>
      <c r="F5" s="1"/>
      <c r="G5" s="2"/>
      <c r="H5" s="2"/>
      <c r="I5" s="2"/>
      <c r="J5" s="2"/>
      <c r="K5" s="2"/>
      <c r="L5" s="2"/>
      <c r="M5" s="2"/>
      <c r="N5" s="2"/>
    </row>
    <row r="6">
      <c r="A6" s="1" t="s">
        <v>10</v>
      </c>
      <c r="B6" s="7" t="s">
        <v>11</v>
      </c>
      <c r="C6" s="1"/>
      <c r="F6" s="1"/>
      <c r="G6" s="2"/>
      <c r="H6" s="2"/>
      <c r="I6" s="2"/>
      <c r="J6" s="2"/>
      <c r="K6" s="2"/>
      <c r="L6" s="2"/>
      <c r="M6" s="2"/>
      <c r="N6" s="2"/>
    </row>
    <row r="7">
      <c r="A7" s="1" t="s">
        <v>12</v>
      </c>
      <c r="B7" s="7" t="s">
        <v>13</v>
      </c>
      <c r="C7" s="1"/>
      <c r="F7" s="1"/>
      <c r="G7" s="2"/>
      <c r="H7" s="2"/>
      <c r="I7" s="2"/>
      <c r="J7" s="2"/>
      <c r="K7" s="2"/>
      <c r="L7" s="2"/>
      <c r="M7" s="2"/>
      <c r="N7" s="2"/>
    </row>
    <row r="8">
      <c r="A8" s="1" t="s">
        <v>14</v>
      </c>
      <c r="B8" s="7" t="s">
        <v>15</v>
      </c>
      <c r="C8" s="1"/>
      <c r="F8" s="1"/>
      <c r="G8" s="2"/>
      <c r="H8" s="2"/>
      <c r="I8" s="2"/>
      <c r="J8" s="2"/>
      <c r="K8" s="2"/>
      <c r="L8" s="2"/>
      <c r="M8" s="2"/>
      <c r="N8" s="2"/>
    </row>
    <row r="9">
      <c r="A9" s="1" t="s">
        <v>16</v>
      </c>
      <c r="B9" s="7" t="s">
        <v>17</v>
      </c>
      <c r="C9" s="1"/>
      <c r="F9" s="1"/>
      <c r="G9" s="2"/>
      <c r="H9" s="2"/>
      <c r="I9" s="2"/>
      <c r="J9" s="2"/>
      <c r="K9" s="2"/>
      <c r="L9" s="2"/>
      <c r="M9" s="2"/>
      <c r="N9" s="2"/>
    </row>
    <row r="10">
      <c r="A10" s="8" t="s">
        <v>18</v>
      </c>
      <c r="B10" s="8" t="s">
        <v>69</v>
      </c>
      <c r="C10" s="8" t="s">
        <v>20</v>
      </c>
      <c r="D10" s="8" t="s">
        <v>21</v>
      </c>
      <c r="E10" s="8" t="s">
        <v>22</v>
      </c>
      <c r="F10" s="8" t="s">
        <v>23</v>
      </c>
      <c r="G10" s="8" t="s">
        <v>24</v>
      </c>
      <c r="H10" s="8" t="s">
        <v>25</v>
      </c>
      <c r="I10" s="8" t="s">
        <v>25</v>
      </c>
      <c r="J10" s="8" t="s">
        <v>25</v>
      </c>
      <c r="K10" s="8" t="s">
        <v>25</v>
      </c>
      <c r="L10" s="8" t="s">
        <v>26</v>
      </c>
      <c r="M10" s="8" t="s">
        <v>27</v>
      </c>
      <c r="N10" s="8" t="s">
        <v>28</v>
      </c>
    </row>
    <row r="11">
      <c r="A11" s="6" t="s">
        <v>70</v>
      </c>
      <c r="B11" s="6">
        <v>3.1</v>
      </c>
      <c r="C11" s="9" t="s">
        <v>71</v>
      </c>
      <c r="E11" s="6"/>
      <c r="H11" s="6"/>
    </row>
    <row r="12">
      <c r="A12" s="6" t="s">
        <v>72</v>
      </c>
      <c r="B12" s="6">
        <v>3.2</v>
      </c>
      <c r="C12" s="6" t="s">
        <v>73</v>
      </c>
      <c r="E12" s="6"/>
      <c r="H12" s="6"/>
    </row>
    <row r="13">
      <c r="A13" s="6" t="s">
        <v>74</v>
      </c>
      <c r="B13" s="6">
        <v>3.3</v>
      </c>
      <c r="C13" s="6" t="s">
        <v>75</v>
      </c>
      <c r="E13" s="6"/>
      <c r="H13" s="6"/>
    </row>
    <row r="14">
      <c r="A14" s="6" t="s">
        <v>76</v>
      </c>
      <c r="B14" s="6">
        <v>3.4</v>
      </c>
      <c r="C14" s="6" t="s">
        <v>77</v>
      </c>
      <c r="E14" s="6"/>
      <c r="H14" s="6"/>
    </row>
    <row r="15">
      <c r="A15" s="6" t="s">
        <v>78</v>
      </c>
      <c r="B15" s="6">
        <v>3.5</v>
      </c>
      <c r="C15" s="6" t="s">
        <v>79</v>
      </c>
      <c r="E15" s="6"/>
      <c r="H15" s="6"/>
    </row>
    <row r="16">
      <c r="A16" s="6" t="s">
        <v>80</v>
      </c>
      <c r="B16" s="6">
        <v>3.6</v>
      </c>
      <c r="C16" s="6" t="s">
        <v>81</v>
      </c>
      <c r="E16" s="6"/>
      <c r="H16" s="6"/>
    </row>
    <row r="17">
      <c r="A17" s="6" t="s">
        <v>82</v>
      </c>
      <c r="B17" s="6">
        <v>3.7</v>
      </c>
      <c r="C17" s="6" t="s">
        <v>83</v>
      </c>
      <c r="E17" s="6"/>
      <c r="H17" s="6"/>
    </row>
    <row r="18">
      <c r="A18" s="6" t="s">
        <v>84</v>
      </c>
      <c r="B18" s="6">
        <v>3.8</v>
      </c>
      <c r="C18" s="6" t="s">
        <v>85</v>
      </c>
    </row>
    <row r="19">
      <c r="A19" s="6" t="s">
        <v>86</v>
      </c>
      <c r="B19" s="6">
        <v>3.9</v>
      </c>
      <c r="C19" s="6" t="s">
        <v>87</v>
      </c>
    </row>
    <row r="20">
      <c r="A20" s="6" t="s">
        <v>86</v>
      </c>
      <c r="B20" s="6">
        <v>3.101</v>
      </c>
      <c r="C20" s="6" t="s">
        <v>87</v>
      </c>
    </row>
    <row r="21">
      <c r="A21" s="6" t="s">
        <v>88</v>
      </c>
      <c r="B21" s="6">
        <v>3.11</v>
      </c>
      <c r="C21" s="6" t="s">
        <v>89</v>
      </c>
    </row>
    <row r="22">
      <c r="A22" s="6" t="s">
        <v>90</v>
      </c>
      <c r="B22" s="6">
        <v>3.12</v>
      </c>
      <c r="C22" s="6" t="s">
        <v>91</v>
      </c>
    </row>
    <row r="23">
      <c r="A23" s="6" t="s">
        <v>92</v>
      </c>
      <c r="B23" s="6">
        <v>3.13</v>
      </c>
      <c r="C23" s="13" t="s">
        <v>93</v>
      </c>
      <c r="M23" s="10"/>
    </row>
    <row r="24">
      <c r="A24" s="6" t="s">
        <v>94</v>
      </c>
      <c r="B24" s="6">
        <v>3.14</v>
      </c>
      <c r="C24" s="6" t="s">
        <v>95</v>
      </c>
    </row>
    <row r="25">
      <c r="A25" s="6" t="s">
        <v>96</v>
      </c>
      <c r="B25" s="6">
        <v>3.15</v>
      </c>
      <c r="C25" s="6" t="s">
        <v>97</v>
      </c>
    </row>
    <row r="28">
      <c r="H28" s="11"/>
    </row>
    <row r="31">
      <c r="L31" s="10"/>
    </row>
    <row r="39">
      <c r="M39" s="10"/>
    </row>
    <row r="42">
      <c r="L42" s="10"/>
    </row>
    <row r="49">
      <c r="L49" s="10"/>
    </row>
    <row r="53">
      <c r="F53" s="12"/>
    </row>
    <row r="61">
      <c r="L61" s="10"/>
    </row>
    <row r="91">
      <c r="L91" s="12"/>
    </row>
    <row r="95">
      <c r="L95" s="10"/>
    </row>
    <row r="97">
      <c r="L97" s="10"/>
    </row>
    <row r="123">
      <c r="L123"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s>
  <sheetData>
    <row r="1">
      <c r="A1" s="1" t="s">
        <v>0</v>
      </c>
      <c r="B1" s="2"/>
      <c r="C1" s="2"/>
      <c r="D1" s="2"/>
      <c r="E1" s="2"/>
      <c r="F1" s="2"/>
      <c r="G1" s="2"/>
      <c r="H1" s="2"/>
      <c r="I1" s="2"/>
      <c r="J1" s="2"/>
      <c r="K1" s="2"/>
      <c r="L1" s="2"/>
      <c r="M1" s="2"/>
      <c r="N1" s="2"/>
    </row>
    <row r="2">
      <c r="A2" s="1" t="s">
        <v>1</v>
      </c>
      <c r="B2" s="1" t="s">
        <v>2</v>
      </c>
      <c r="C2" s="1" t="s">
        <v>3</v>
      </c>
      <c r="F2" s="1"/>
      <c r="G2" s="2"/>
      <c r="H2" s="2"/>
      <c r="I2" s="2"/>
      <c r="J2" s="2"/>
      <c r="K2" s="2"/>
      <c r="L2" s="2"/>
      <c r="M2" s="2"/>
      <c r="N2" s="2"/>
    </row>
    <row r="3">
      <c r="A3" s="1" t="s">
        <v>1</v>
      </c>
      <c r="B3" s="1" t="s">
        <v>4</v>
      </c>
      <c r="C3" s="1" t="s">
        <v>5</v>
      </c>
      <c r="F3" s="1"/>
      <c r="G3" s="2"/>
      <c r="H3" s="2"/>
      <c r="I3" s="2"/>
      <c r="J3" s="2"/>
      <c r="K3" s="2"/>
      <c r="L3" s="2"/>
      <c r="M3" s="2"/>
      <c r="N3" s="2"/>
    </row>
    <row r="4">
      <c r="A4" s="3" t="s">
        <v>6</v>
      </c>
      <c r="B4" s="3" t="s">
        <v>7</v>
      </c>
      <c r="C4" s="4"/>
      <c r="D4" s="5"/>
      <c r="E4" s="5"/>
      <c r="F4" s="4"/>
      <c r="G4" s="5"/>
      <c r="H4" s="5"/>
      <c r="I4" s="5"/>
      <c r="J4" s="5"/>
      <c r="K4" s="5"/>
      <c r="L4" s="5"/>
      <c r="M4" s="5"/>
      <c r="N4" s="5"/>
    </row>
    <row r="5">
      <c r="A5" s="1" t="s">
        <v>8</v>
      </c>
      <c r="B5" s="6" t="s">
        <v>9</v>
      </c>
      <c r="C5" s="1"/>
      <c r="F5" s="1"/>
      <c r="G5" s="2"/>
      <c r="H5" s="2"/>
      <c r="I5" s="2"/>
      <c r="J5" s="2"/>
      <c r="K5" s="2"/>
      <c r="L5" s="2"/>
      <c r="M5" s="2"/>
      <c r="N5" s="2"/>
    </row>
    <row r="6">
      <c r="A6" s="1" t="s">
        <v>10</v>
      </c>
      <c r="B6" s="7" t="s">
        <v>11</v>
      </c>
      <c r="C6" s="1"/>
      <c r="F6" s="1"/>
      <c r="G6" s="2"/>
      <c r="H6" s="2"/>
      <c r="I6" s="2"/>
      <c r="J6" s="2"/>
      <c r="K6" s="2"/>
      <c r="L6" s="2"/>
      <c r="M6" s="2"/>
      <c r="N6" s="2"/>
    </row>
    <row r="7">
      <c r="A7" s="1" t="s">
        <v>12</v>
      </c>
      <c r="B7" s="7" t="s">
        <v>13</v>
      </c>
      <c r="C7" s="1"/>
      <c r="F7" s="1"/>
      <c r="G7" s="2"/>
      <c r="H7" s="2"/>
      <c r="I7" s="2"/>
      <c r="J7" s="2"/>
      <c r="K7" s="2"/>
      <c r="L7" s="2"/>
      <c r="M7" s="2"/>
      <c r="N7" s="2"/>
    </row>
    <row r="8">
      <c r="A8" s="1" t="s">
        <v>14</v>
      </c>
      <c r="B8" s="7" t="s">
        <v>15</v>
      </c>
      <c r="C8" s="1"/>
      <c r="F8" s="1"/>
      <c r="G8" s="2"/>
      <c r="H8" s="2"/>
      <c r="I8" s="2"/>
      <c r="J8" s="2"/>
      <c r="K8" s="2"/>
      <c r="L8" s="2"/>
      <c r="M8" s="2"/>
      <c r="N8" s="2"/>
    </row>
    <row r="9">
      <c r="A9" s="1" t="s">
        <v>16</v>
      </c>
      <c r="B9" s="7" t="s">
        <v>17</v>
      </c>
      <c r="C9" s="1"/>
      <c r="F9" s="1"/>
      <c r="G9" s="2"/>
      <c r="H9" s="2"/>
      <c r="I9" s="2"/>
      <c r="J9" s="2"/>
      <c r="K9" s="2"/>
      <c r="L9" s="2"/>
      <c r="M9" s="2"/>
      <c r="N9" s="2"/>
    </row>
    <row r="10">
      <c r="A10" s="8" t="s">
        <v>18</v>
      </c>
      <c r="B10" s="8" t="s">
        <v>19</v>
      </c>
      <c r="C10" s="8" t="s">
        <v>20</v>
      </c>
      <c r="D10" s="8" t="s">
        <v>21</v>
      </c>
      <c r="E10" s="8" t="s">
        <v>22</v>
      </c>
      <c r="F10" s="8" t="s">
        <v>23</v>
      </c>
      <c r="G10" s="8" t="s">
        <v>24</v>
      </c>
      <c r="H10" s="8" t="s">
        <v>25</v>
      </c>
      <c r="I10" s="8" t="s">
        <v>25</v>
      </c>
      <c r="J10" s="8" t="s">
        <v>25</v>
      </c>
      <c r="K10" s="8" t="s">
        <v>25</v>
      </c>
      <c r="L10" s="8" t="s">
        <v>26</v>
      </c>
      <c r="M10" s="8" t="s">
        <v>27</v>
      </c>
      <c r="N10" s="8" t="s">
        <v>28</v>
      </c>
    </row>
    <row r="11">
      <c r="A11" s="6" t="s">
        <v>70</v>
      </c>
      <c r="B11" s="6">
        <v>3.1</v>
      </c>
      <c r="C11" s="9" t="s">
        <v>71</v>
      </c>
      <c r="E11" s="6"/>
      <c r="H11" s="6"/>
    </row>
    <row r="12">
      <c r="A12" s="6" t="s">
        <v>76</v>
      </c>
      <c r="B12" s="6">
        <v>3.2</v>
      </c>
      <c r="C12" s="6" t="s">
        <v>77</v>
      </c>
      <c r="E12" s="6"/>
      <c r="H12" s="6"/>
    </row>
    <row r="13">
      <c r="A13" s="6" t="s">
        <v>98</v>
      </c>
      <c r="B13" s="6">
        <v>3.3</v>
      </c>
      <c r="C13" s="6" t="s">
        <v>99</v>
      </c>
      <c r="E13" s="6"/>
      <c r="H13" s="6"/>
    </row>
    <row r="14">
      <c r="A14" s="11" t="s">
        <v>100</v>
      </c>
      <c r="B14" s="6">
        <v>3.4</v>
      </c>
      <c r="C14" s="11" t="s">
        <v>101</v>
      </c>
    </row>
    <row r="15">
      <c r="A15" s="6" t="s">
        <v>102</v>
      </c>
      <c r="B15" s="6">
        <v>3.5</v>
      </c>
      <c r="C15" s="6" t="s">
        <v>102</v>
      </c>
      <c r="E15" s="6"/>
      <c r="H15" s="6"/>
    </row>
    <row r="23">
      <c r="M23" s="10"/>
    </row>
    <row r="28">
      <c r="H28" s="11"/>
    </row>
    <row r="31">
      <c r="L31" s="10"/>
    </row>
    <row r="39">
      <c r="M39" s="10"/>
    </row>
    <row r="42">
      <c r="L42" s="10"/>
    </row>
    <row r="49">
      <c r="L49" s="10"/>
    </row>
    <row r="53">
      <c r="F53" s="12"/>
    </row>
    <row r="61">
      <c r="L61" s="10"/>
    </row>
    <row r="91">
      <c r="L91" s="12"/>
    </row>
    <row r="95">
      <c r="L95" s="10"/>
    </row>
    <row r="97">
      <c r="L97" s="10"/>
    </row>
    <row r="123">
      <c r="L123"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row>
    <row r="2">
      <c r="A2" s="1" t="s">
        <v>1</v>
      </c>
      <c r="B2" s="1" t="s">
        <v>2</v>
      </c>
      <c r="C2" s="1" t="s">
        <v>3</v>
      </c>
      <c r="F2" s="1"/>
      <c r="G2" s="2"/>
      <c r="H2" s="2"/>
      <c r="I2" s="2"/>
      <c r="J2" s="2"/>
      <c r="K2" s="2"/>
      <c r="L2" s="2"/>
      <c r="M2" s="2"/>
      <c r="N2" s="2"/>
    </row>
    <row r="3">
      <c r="A3" s="1" t="s">
        <v>1</v>
      </c>
      <c r="B3" s="1" t="s">
        <v>4</v>
      </c>
      <c r="C3" s="1" t="s">
        <v>5</v>
      </c>
      <c r="F3" s="1"/>
      <c r="G3" s="2"/>
      <c r="H3" s="2"/>
      <c r="I3" s="2"/>
      <c r="J3" s="2"/>
      <c r="K3" s="2"/>
      <c r="L3" s="2"/>
      <c r="M3" s="2"/>
      <c r="N3" s="2"/>
    </row>
    <row r="4">
      <c r="A4" s="3" t="s">
        <v>6</v>
      </c>
      <c r="B4" s="3" t="s">
        <v>7</v>
      </c>
      <c r="C4" s="4"/>
      <c r="D4" s="5"/>
      <c r="E4" s="5"/>
      <c r="F4" s="4"/>
      <c r="G4" s="5"/>
      <c r="H4" s="5"/>
      <c r="I4" s="5"/>
      <c r="J4" s="5"/>
      <c r="K4" s="5"/>
      <c r="L4" s="5"/>
      <c r="M4" s="5"/>
      <c r="N4" s="5"/>
    </row>
    <row r="5">
      <c r="A5" s="1" t="s">
        <v>8</v>
      </c>
      <c r="B5" s="6" t="s">
        <v>9</v>
      </c>
      <c r="C5" s="1"/>
      <c r="F5" s="1"/>
      <c r="G5" s="2"/>
      <c r="H5" s="2"/>
      <c r="I5" s="2"/>
      <c r="J5" s="2"/>
      <c r="K5" s="2"/>
      <c r="L5" s="2"/>
      <c r="M5" s="2"/>
      <c r="N5" s="2"/>
    </row>
    <row r="6">
      <c r="A6" s="1" t="s">
        <v>10</v>
      </c>
      <c r="B6" s="7" t="s">
        <v>11</v>
      </c>
      <c r="C6" s="1"/>
      <c r="F6" s="1"/>
      <c r="G6" s="2"/>
      <c r="H6" s="2"/>
      <c r="I6" s="2"/>
      <c r="J6" s="2"/>
      <c r="K6" s="2"/>
      <c r="L6" s="2"/>
      <c r="M6" s="2"/>
      <c r="N6" s="2"/>
    </row>
    <row r="7">
      <c r="A7" s="1" t="s">
        <v>12</v>
      </c>
      <c r="B7" s="7" t="s">
        <v>13</v>
      </c>
      <c r="C7" s="1"/>
      <c r="F7" s="1"/>
      <c r="G7" s="2"/>
      <c r="H7" s="2"/>
      <c r="I7" s="2"/>
      <c r="J7" s="2"/>
      <c r="K7" s="2"/>
      <c r="L7" s="2"/>
      <c r="M7" s="2"/>
      <c r="N7" s="2"/>
    </row>
    <row r="8">
      <c r="A8" s="1" t="s">
        <v>14</v>
      </c>
      <c r="B8" s="7" t="s">
        <v>15</v>
      </c>
      <c r="C8" s="1"/>
      <c r="F8" s="1"/>
      <c r="G8" s="2"/>
      <c r="H8" s="2"/>
      <c r="I8" s="2"/>
      <c r="J8" s="2"/>
      <c r="K8" s="2"/>
      <c r="L8" s="2"/>
      <c r="M8" s="2"/>
      <c r="N8" s="2"/>
    </row>
    <row r="9">
      <c r="A9" s="1" t="s">
        <v>16</v>
      </c>
      <c r="B9" s="7" t="s">
        <v>17</v>
      </c>
      <c r="C9" s="1"/>
      <c r="F9" s="1"/>
      <c r="G9" s="2"/>
      <c r="H9" s="2"/>
      <c r="I9" s="2"/>
      <c r="J9" s="2"/>
      <c r="K9" s="2"/>
      <c r="L9" s="2"/>
      <c r="M9" s="2"/>
      <c r="N9" s="2"/>
    </row>
    <row r="10">
      <c r="A10" s="8" t="s">
        <v>18</v>
      </c>
      <c r="B10" s="8" t="s">
        <v>19</v>
      </c>
      <c r="C10" s="8" t="s">
        <v>20</v>
      </c>
      <c r="D10" s="8" t="s">
        <v>21</v>
      </c>
      <c r="E10" s="8" t="s">
        <v>22</v>
      </c>
      <c r="F10" s="8" t="s">
        <v>23</v>
      </c>
      <c r="G10" s="8" t="s">
        <v>24</v>
      </c>
      <c r="H10" s="8" t="s">
        <v>25</v>
      </c>
      <c r="I10" s="8" t="s">
        <v>25</v>
      </c>
      <c r="J10" s="8" t="s">
        <v>25</v>
      </c>
      <c r="K10" s="8" t="s">
        <v>25</v>
      </c>
      <c r="L10" s="8" t="s">
        <v>26</v>
      </c>
      <c r="M10" s="8" t="s">
        <v>27</v>
      </c>
      <c r="N10" s="8" t="s">
        <v>28</v>
      </c>
    </row>
    <row r="11">
      <c r="A11" s="6" t="s">
        <v>103</v>
      </c>
      <c r="B11" s="6">
        <v>3.1</v>
      </c>
      <c r="C11" s="9" t="s">
        <v>104</v>
      </c>
      <c r="E11" s="6"/>
      <c r="H11" s="6"/>
    </row>
    <row r="12">
      <c r="A12" s="6" t="s">
        <v>105</v>
      </c>
      <c r="B12" s="6">
        <v>3.2</v>
      </c>
      <c r="C12" s="6" t="s">
        <v>106</v>
      </c>
      <c r="E12" s="6"/>
      <c r="H12" s="6"/>
    </row>
    <row r="13">
      <c r="A13" s="6" t="s">
        <v>107</v>
      </c>
      <c r="B13" s="6">
        <v>3.3</v>
      </c>
      <c r="C13" s="6" t="s">
        <v>108</v>
      </c>
      <c r="E13" s="6"/>
      <c r="H13" s="6"/>
    </row>
    <row r="14">
      <c r="A14" s="6" t="s">
        <v>109</v>
      </c>
      <c r="B14" s="6">
        <v>3.4</v>
      </c>
      <c r="C14" s="6" t="s">
        <v>110</v>
      </c>
      <c r="E14" s="6"/>
      <c r="H14" s="6"/>
    </row>
    <row r="23">
      <c r="M23" s="10"/>
    </row>
    <row r="28">
      <c r="H28" s="11"/>
    </row>
    <row r="31">
      <c r="L31" s="10"/>
    </row>
    <row r="39">
      <c r="M39" s="10"/>
    </row>
    <row r="42">
      <c r="L42" s="10"/>
    </row>
    <row r="49">
      <c r="L49" s="10"/>
    </row>
    <row r="53">
      <c r="F53" s="12"/>
    </row>
    <row r="61">
      <c r="L61" s="10"/>
    </row>
    <row r="91">
      <c r="L91" s="12"/>
    </row>
    <row r="95">
      <c r="L95" s="10"/>
    </row>
    <row r="97">
      <c r="L97" s="10"/>
    </row>
    <row r="123">
      <c r="L123"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2"/>
      <c r="L1" s="2"/>
      <c r="M1" s="2"/>
      <c r="N1" s="2"/>
    </row>
    <row r="2">
      <c r="A2" s="1" t="s">
        <v>1</v>
      </c>
      <c r="B2" s="1" t="s">
        <v>2</v>
      </c>
      <c r="C2" s="1" t="s">
        <v>3</v>
      </c>
      <c r="F2" s="1"/>
      <c r="G2" s="2"/>
      <c r="H2" s="2"/>
      <c r="I2" s="2"/>
      <c r="J2" s="2"/>
      <c r="K2" s="2"/>
      <c r="L2" s="2"/>
      <c r="M2" s="2"/>
      <c r="N2" s="2"/>
    </row>
    <row r="3">
      <c r="A3" s="1" t="s">
        <v>1</v>
      </c>
      <c r="B3" s="1" t="s">
        <v>4</v>
      </c>
      <c r="C3" s="1" t="s">
        <v>5</v>
      </c>
      <c r="F3" s="1"/>
      <c r="G3" s="2"/>
      <c r="H3" s="2"/>
      <c r="I3" s="2"/>
      <c r="J3" s="2"/>
      <c r="K3" s="2"/>
      <c r="L3" s="2"/>
      <c r="M3" s="2"/>
      <c r="N3" s="2"/>
    </row>
    <row r="4">
      <c r="A4" s="3" t="s">
        <v>6</v>
      </c>
      <c r="B4" s="3" t="s">
        <v>7</v>
      </c>
      <c r="C4" s="4"/>
      <c r="D4" s="5"/>
      <c r="E4" s="5"/>
      <c r="F4" s="4"/>
      <c r="G4" s="5"/>
      <c r="H4" s="5"/>
      <c r="I4" s="5"/>
      <c r="J4" s="5"/>
      <c r="K4" s="5"/>
      <c r="L4" s="5"/>
      <c r="M4" s="5"/>
      <c r="N4" s="5"/>
    </row>
    <row r="5">
      <c r="A5" s="1" t="s">
        <v>8</v>
      </c>
      <c r="B5" s="6" t="s">
        <v>9</v>
      </c>
      <c r="C5" s="1"/>
      <c r="F5" s="1"/>
      <c r="G5" s="2"/>
      <c r="H5" s="2"/>
      <c r="I5" s="2"/>
      <c r="J5" s="2"/>
      <c r="K5" s="2"/>
      <c r="L5" s="2"/>
      <c r="M5" s="2"/>
      <c r="N5" s="2"/>
    </row>
    <row r="6">
      <c r="A6" s="1" t="s">
        <v>10</v>
      </c>
      <c r="B6" s="7" t="s">
        <v>11</v>
      </c>
      <c r="C6" s="1"/>
      <c r="F6" s="1"/>
      <c r="G6" s="2"/>
      <c r="H6" s="2"/>
      <c r="I6" s="2"/>
      <c r="J6" s="2"/>
      <c r="K6" s="2"/>
      <c r="L6" s="2"/>
      <c r="M6" s="2"/>
      <c r="N6" s="2"/>
    </row>
    <row r="7">
      <c r="A7" s="1" t="s">
        <v>12</v>
      </c>
      <c r="B7" s="7" t="s">
        <v>13</v>
      </c>
      <c r="C7" s="1"/>
      <c r="F7" s="1"/>
      <c r="G7" s="2"/>
      <c r="H7" s="2"/>
      <c r="I7" s="2"/>
      <c r="J7" s="2"/>
      <c r="K7" s="2"/>
      <c r="L7" s="2"/>
      <c r="M7" s="2"/>
      <c r="N7" s="2"/>
    </row>
    <row r="8">
      <c r="A8" s="1" t="s">
        <v>14</v>
      </c>
      <c r="B8" s="7" t="s">
        <v>15</v>
      </c>
      <c r="C8" s="1"/>
      <c r="F8" s="1"/>
      <c r="G8" s="2"/>
      <c r="H8" s="2"/>
      <c r="I8" s="2"/>
      <c r="J8" s="2"/>
      <c r="K8" s="2"/>
      <c r="L8" s="2"/>
      <c r="M8" s="2"/>
      <c r="N8" s="2"/>
    </row>
    <row r="9">
      <c r="A9" s="1" t="s">
        <v>16</v>
      </c>
      <c r="B9" s="7" t="s">
        <v>17</v>
      </c>
      <c r="C9" s="1"/>
      <c r="F9" s="1"/>
      <c r="G9" s="2"/>
      <c r="H9" s="2"/>
      <c r="I9" s="2"/>
      <c r="J9" s="2"/>
      <c r="K9" s="2"/>
      <c r="L9" s="2"/>
      <c r="M9" s="2"/>
      <c r="N9" s="2"/>
    </row>
    <row r="10">
      <c r="A10" s="8" t="s">
        <v>18</v>
      </c>
      <c r="B10" s="8" t="s">
        <v>19</v>
      </c>
      <c r="C10" s="8" t="s">
        <v>20</v>
      </c>
      <c r="D10" s="8" t="s">
        <v>21</v>
      </c>
      <c r="E10" s="8" t="s">
        <v>22</v>
      </c>
      <c r="F10" s="8" t="s">
        <v>23</v>
      </c>
      <c r="G10" s="8" t="s">
        <v>24</v>
      </c>
      <c r="H10" s="8" t="s">
        <v>25</v>
      </c>
      <c r="I10" s="8" t="s">
        <v>25</v>
      </c>
      <c r="J10" s="8" t="s">
        <v>25</v>
      </c>
      <c r="K10" s="8" t="s">
        <v>25</v>
      </c>
      <c r="L10" s="8" t="s">
        <v>26</v>
      </c>
      <c r="M10" s="8" t="s">
        <v>27</v>
      </c>
      <c r="N10" s="8" t="s">
        <v>28</v>
      </c>
    </row>
    <row r="11">
      <c r="A11" s="6" t="s">
        <v>111</v>
      </c>
      <c r="B11" s="6">
        <v>3.1</v>
      </c>
      <c r="C11" s="6" t="s">
        <v>112</v>
      </c>
      <c r="E11" s="6"/>
      <c r="H11" s="6"/>
    </row>
    <row r="12">
      <c r="A12" s="6" t="s">
        <v>113</v>
      </c>
      <c r="B12" s="6">
        <v>3.2</v>
      </c>
      <c r="C12" s="6" t="s">
        <v>114</v>
      </c>
      <c r="E12" s="6"/>
      <c r="H12" s="6"/>
    </row>
    <row r="13">
      <c r="A13" s="6" t="s">
        <v>115</v>
      </c>
      <c r="B13" s="6">
        <v>3.3</v>
      </c>
      <c r="C13" s="6" t="s">
        <v>116</v>
      </c>
      <c r="E13" s="6"/>
      <c r="H13" s="6"/>
    </row>
    <row r="14">
      <c r="A14" s="6" t="s">
        <v>109</v>
      </c>
      <c r="B14" s="6">
        <v>3.4</v>
      </c>
      <c r="C14" s="6" t="s">
        <v>109</v>
      </c>
      <c r="E14" s="6"/>
      <c r="H14" s="6"/>
    </row>
    <row r="15">
      <c r="A15" s="6" t="s">
        <v>117</v>
      </c>
      <c r="B15" s="6">
        <v>3.5</v>
      </c>
      <c r="C15" s="6" t="s">
        <v>118</v>
      </c>
    </row>
    <row r="16">
      <c r="A16" s="6" t="s">
        <v>119</v>
      </c>
      <c r="B16" s="6">
        <v>3.6</v>
      </c>
      <c r="C16" s="6" t="s">
        <v>120</v>
      </c>
    </row>
    <row r="17">
      <c r="A17" s="6" t="s">
        <v>121</v>
      </c>
      <c r="B17" s="6">
        <v>3.7</v>
      </c>
      <c r="C17" s="6" t="s">
        <v>122</v>
      </c>
    </row>
    <row r="18">
      <c r="A18" s="6" t="s">
        <v>123</v>
      </c>
      <c r="B18" s="6">
        <v>3.8</v>
      </c>
      <c r="C18" s="6" t="s">
        <v>124</v>
      </c>
    </row>
    <row r="19">
      <c r="A19" s="6" t="s">
        <v>125</v>
      </c>
      <c r="B19" s="6">
        <v>3.9</v>
      </c>
      <c r="C19" s="6" t="s">
        <v>126</v>
      </c>
    </row>
    <row r="20">
      <c r="A20" s="6" t="s">
        <v>127</v>
      </c>
      <c r="B20" s="6">
        <v>3.101</v>
      </c>
      <c r="C20" s="6" t="s">
        <v>128</v>
      </c>
    </row>
    <row r="21">
      <c r="A21" s="6" t="s">
        <v>129</v>
      </c>
      <c r="B21" s="6">
        <v>3.11</v>
      </c>
      <c r="C21" s="6" t="s">
        <v>130</v>
      </c>
    </row>
    <row r="22">
      <c r="A22" s="6" t="s">
        <v>131</v>
      </c>
      <c r="B22" s="6">
        <v>3.12</v>
      </c>
      <c r="C22" s="6" t="s">
        <v>132</v>
      </c>
    </row>
    <row r="23">
      <c r="A23" s="6" t="s">
        <v>133</v>
      </c>
      <c r="B23" s="6">
        <v>3.13</v>
      </c>
      <c r="C23" s="6" t="s">
        <v>134</v>
      </c>
      <c r="M23" s="10"/>
    </row>
    <row r="28">
      <c r="H28" s="11"/>
    </row>
    <row r="31">
      <c r="L31" s="10"/>
    </row>
    <row r="39">
      <c r="M39" s="10"/>
    </row>
    <row r="42">
      <c r="L42" s="10"/>
    </row>
    <row r="49">
      <c r="L49" s="10"/>
    </row>
    <row r="53">
      <c r="F53" s="12"/>
    </row>
    <row r="61">
      <c r="L61" s="10"/>
    </row>
    <row r="91">
      <c r="L91" s="12"/>
    </row>
    <row r="95">
      <c r="L95" s="10"/>
    </row>
    <row r="97">
      <c r="L97" s="10"/>
    </row>
    <row r="123">
      <c r="L123" s="1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5" max="5" width="22.25"/>
  </cols>
  <sheetData>
    <row r="1">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c r="A2" s="15" t="s">
        <v>135</v>
      </c>
      <c r="B2" s="15" t="s">
        <v>136</v>
      </c>
      <c r="C2" s="14" t="s">
        <v>137</v>
      </c>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row>
    <row r="3">
      <c r="A3" s="14"/>
      <c r="B3" s="15" t="s">
        <v>138</v>
      </c>
      <c r="C3" s="16" t="s">
        <v>139</v>
      </c>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row>
    <row r="4">
      <c r="A4" s="14"/>
      <c r="B4" s="15" t="s">
        <v>140</v>
      </c>
      <c r="C4" s="17" t="s">
        <v>141</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row>
    <row r="5">
      <c r="A5" s="14"/>
      <c r="B5" s="15" t="s">
        <v>142</v>
      </c>
      <c r="C5" s="17" t="s">
        <v>143</v>
      </c>
      <c r="D5" s="15"/>
      <c r="E5" s="14"/>
      <c r="F5" s="15"/>
      <c r="G5" s="15"/>
      <c r="H5" s="15"/>
      <c r="I5" s="14"/>
      <c r="J5" s="14"/>
      <c r="K5" s="14"/>
      <c r="L5" s="14"/>
      <c r="M5" s="15"/>
      <c r="N5" s="15"/>
      <c r="O5" s="15"/>
      <c r="P5" s="15"/>
      <c r="Q5" s="15"/>
      <c r="R5" s="15"/>
      <c r="S5" s="15"/>
      <c r="T5" s="14"/>
      <c r="U5" s="14"/>
      <c r="V5" s="14"/>
      <c r="W5" s="14"/>
      <c r="X5" s="14"/>
      <c r="Y5" s="14"/>
      <c r="Z5" s="14"/>
      <c r="AA5" s="14"/>
      <c r="AB5" s="14"/>
      <c r="AC5" s="14"/>
      <c r="AD5" s="14"/>
      <c r="AE5" s="14"/>
    </row>
    <row r="6">
      <c r="A6" s="18" t="s">
        <v>144</v>
      </c>
      <c r="B6" s="18" t="s">
        <v>145</v>
      </c>
      <c r="C6" s="18" t="s">
        <v>146</v>
      </c>
      <c r="D6" s="18" t="s">
        <v>147</v>
      </c>
      <c r="E6" s="19" t="s">
        <v>148</v>
      </c>
      <c r="F6" s="18" t="s">
        <v>149</v>
      </c>
      <c r="G6" s="18" t="s">
        <v>150</v>
      </c>
      <c r="H6" s="18" t="s">
        <v>151</v>
      </c>
      <c r="I6" s="18" t="s">
        <v>148</v>
      </c>
      <c r="J6" s="18" t="s">
        <v>152</v>
      </c>
      <c r="K6" s="18" t="s">
        <v>153</v>
      </c>
      <c r="L6" s="18" t="s">
        <v>154</v>
      </c>
      <c r="M6" s="18" t="s">
        <v>155</v>
      </c>
      <c r="N6" s="18" t="s">
        <v>153</v>
      </c>
      <c r="O6" s="18" t="s">
        <v>156</v>
      </c>
      <c r="P6" s="18" t="s">
        <v>154</v>
      </c>
      <c r="Q6" s="18" t="s">
        <v>157</v>
      </c>
      <c r="R6" s="18" t="s">
        <v>158</v>
      </c>
      <c r="S6" s="18" t="s">
        <v>159</v>
      </c>
      <c r="T6" s="20"/>
      <c r="U6" s="20"/>
      <c r="V6" s="20"/>
      <c r="W6" s="20"/>
      <c r="X6" s="20"/>
      <c r="Y6" s="20"/>
      <c r="Z6" s="20"/>
      <c r="AA6" s="20"/>
      <c r="AB6" s="20"/>
      <c r="AC6" s="20"/>
      <c r="AD6" s="20"/>
      <c r="AE6" s="20"/>
    </row>
    <row r="7">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row>
    <row r="8">
      <c r="A8" s="22" t="s">
        <v>160</v>
      </c>
      <c r="B8" s="23" t="s">
        <v>26</v>
      </c>
      <c r="C8" s="23" t="s">
        <v>161</v>
      </c>
      <c r="D8" s="23" t="s">
        <v>162</v>
      </c>
      <c r="E8" s="23" t="s">
        <v>22</v>
      </c>
      <c r="F8" s="23" t="s">
        <v>23</v>
      </c>
      <c r="G8" s="23" t="s">
        <v>24</v>
      </c>
      <c r="H8" s="22" t="s">
        <v>163</v>
      </c>
      <c r="I8" s="24"/>
      <c r="J8" s="24"/>
      <c r="K8" s="24"/>
      <c r="L8" s="24"/>
      <c r="M8" s="24"/>
      <c r="N8" s="24"/>
      <c r="O8" s="24"/>
      <c r="P8" s="24"/>
      <c r="Q8" s="24"/>
      <c r="R8" s="24"/>
      <c r="S8" s="24"/>
      <c r="T8" s="24"/>
      <c r="U8" s="24"/>
      <c r="V8" s="24"/>
      <c r="W8" s="24"/>
      <c r="X8" s="24"/>
      <c r="Y8" s="24"/>
      <c r="Z8" s="24"/>
      <c r="AA8" s="24"/>
      <c r="AB8" s="24"/>
      <c r="AC8" s="24"/>
      <c r="AD8" s="24"/>
      <c r="AE8" s="24"/>
    </row>
    <row r="9">
      <c r="A9" s="25" t="s">
        <v>164</v>
      </c>
      <c r="B9" s="26">
        <v>4.0</v>
      </c>
      <c r="C9" s="25" t="s">
        <v>165</v>
      </c>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row>
    <row r="10">
      <c r="A10" s="25" t="s">
        <v>166</v>
      </c>
      <c r="B10" s="26">
        <v>4.2</v>
      </c>
      <c r="C10" s="27" t="s">
        <v>167</v>
      </c>
      <c r="D10" s="21"/>
      <c r="E10" s="21"/>
      <c r="F10" s="21"/>
      <c r="G10" s="21"/>
      <c r="H10" s="27" t="s">
        <v>168</v>
      </c>
      <c r="I10" s="21"/>
      <c r="J10" s="21"/>
      <c r="K10" s="21"/>
      <c r="L10" s="21"/>
      <c r="M10" s="21"/>
      <c r="N10" s="21"/>
      <c r="O10" s="21"/>
      <c r="P10" s="21"/>
      <c r="Q10" s="21"/>
      <c r="R10" s="21"/>
      <c r="S10" s="21"/>
      <c r="T10" s="21"/>
      <c r="U10" s="21"/>
      <c r="V10" s="21"/>
      <c r="W10" s="21"/>
      <c r="X10" s="21"/>
      <c r="Y10" s="21"/>
      <c r="Z10" s="21"/>
      <c r="AA10" s="21"/>
      <c r="AB10" s="21"/>
      <c r="AC10" s="21"/>
      <c r="AD10" s="21"/>
      <c r="AE10" s="21"/>
    </row>
    <row r="11">
      <c r="A11" s="25" t="s">
        <v>169</v>
      </c>
      <c r="B11" s="26">
        <v>4.3</v>
      </c>
      <c r="C11" s="27" t="s">
        <v>170</v>
      </c>
      <c r="D11" s="21"/>
      <c r="E11" s="21"/>
      <c r="F11" s="21"/>
      <c r="G11" s="21"/>
      <c r="H11" s="27" t="s">
        <v>168</v>
      </c>
      <c r="I11" s="21"/>
      <c r="J11" s="21"/>
      <c r="K11" s="21"/>
      <c r="L11" s="21"/>
      <c r="M11" s="21"/>
      <c r="N11" s="21"/>
      <c r="O11" s="21"/>
      <c r="P11" s="21"/>
      <c r="Q11" s="21"/>
      <c r="R11" s="21"/>
      <c r="S11" s="21"/>
      <c r="T11" s="21"/>
      <c r="U11" s="21"/>
      <c r="V11" s="21"/>
      <c r="W11" s="21"/>
      <c r="X11" s="21"/>
      <c r="Y11" s="21"/>
      <c r="Z11" s="21"/>
      <c r="AA11" s="21"/>
      <c r="AB11" s="21"/>
      <c r="AC11" s="21"/>
      <c r="AD11" s="21"/>
      <c r="AE11" s="21"/>
    </row>
    <row r="12">
      <c r="A12" s="25" t="s">
        <v>171</v>
      </c>
      <c r="B12" s="26">
        <v>5.0</v>
      </c>
      <c r="C12" s="21" t="s">
        <v>172</v>
      </c>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row>
    <row r="13">
      <c r="A13" s="25" t="s">
        <v>173</v>
      </c>
      <c r="B13" s="26">
        <v>6.0</v>
      </c>
      <c r="C13" s="21" t="s">
        <v>174</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row>
    <row r="14">
      <c r="A14" s="25" t="s">
        <v>175</v>
      </c>
      <c r="B14" s="26">
        <v>7.0</v>
      </c>
      <c r="C14" s="21" t="s">
        <v>176</v>
      </c>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row>
    <row r="15">
      <c r="A15" s="25" t="s">
        <v>177</v>
      </c>
      <c r="B15" s="26">
        <v>8.0</v>
      </c>
      <c r="C15" s="21" t="s">
        <v>178</v>
      </c>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row>
    <row r="16">
      <c r="A16" s="25" t="s">
        <v>179</v>
      </c>
      <c r="B16" s="26">
        <v>9.0</v>
      </c>
      <c r="C16" s="21" t="s">
        <v>180</v>
      </c>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row>
    <row r="17">
      <c r="A17" s="25" t="s">
        <v>181</v>
      </c>
      <c r="B17" s="26">
        <v>10.0</v>
      </c>
      <c r="C17" s="21" t="s">
        <v>182</v>
      </c>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row>
    <row r="18">
      <c r="A18" s="25" t="s">
        <v>183</v>
      </c>
      <c r="B18" s="26"/>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row>
    <row r="19">
      <c r="A19" s="25" t="s">
        <v>184</v>
      </c>
      <c r="B19" s="26"/>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row>
    <row r="20">
      <c r="A20" s="28" t="s">
        <v>185</v>
      </c>
      <c r="B20" s="26"/>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row>
    <row r="21">
      <c r="A21" s="28" t="s">
        <v>186</v>
      </c>
      <c r="B21" s="26"/>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row>
    <row r="22">
      <c r="A22" s="25" t="s">
        <v>187</v>
      </c>
      <c r="B22" s="26"/>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row>
    <row r="23">
      <c r="A23" s="28" t="s">
        <v>188</v>
      </c>
      <c r="B23" s="26"/>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row>
    <row r="24">
      <c r="A24" s="21"/>
      <c r="B24" s="26"/>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row>
    <row r="25">
      <c r="A25" s="21"/>
      <c r="B25" s="26"/>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row>
    <row r="26">
      <c r="A26" s="21"/>
      <c r="B26" s="26"/>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row>
    <row r="27">
      <c r="A27" s="21"/>
      <c r="B27" s="26"/>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row>
    <row r="28">
      <c r="A28" s="21"/>
      <c r="B28" s="26"/>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row>
    <row r="29">
      <c r="A29" s="29" t="s">
        <v>189</v>
      </c>
      <c r="B29" s="5"/>
      <c r="C29" s="5"/>
      <c r="D29" s="5"/>
      <c r="E29" s="5"/>
      <c r="F29" s="23" t="s">
        <v>23</v>
      </c>
      <c r="G29" s="23" t="s">
        <v>24</v>
      </c>
      <c r="H29" s="22" t="s">
        <v>163</v>
      </c>
      <c r="I29" s="5" t="s">
        <v>190</v>
      </c>
      <c r="J29" s="5" t="s">
        <v>191</v>
      </c>
      <c r="K29" s="5" t="s">
        <v>192</v>
      </c>
      <c r="L29" s="5" t="s">
        <v>193</v>
      </c>
      <c r="M29" s="5" t="s">
        <v>194</v>
      </c>
      <c r="N29" s="5" t="s">
        <v>195</v>
      </c>
      <c r="O29" s="5" t="s">
        <v>196</v>
      </c>
      <c r="P29" s="29" t="s">
        <v>197</v>
      </c>
      <c r="Q29" s="5"/>
      <c r="R29" s="5"/>
      <c r="S29" s="5"/>
      <c r="T29" s="5"/>
      <c r="U29" s="5"/>
      <c r="V29" s="5"/>
      <c r="W29" s="5"/>
      <c r="X29" s="5"/>
      <c r="Y29" s="5"/>
      <c r="Z29" s="5"/>
      <c r="AA29" s="5"/>
      <c r="AB29" s="5"/>
      <c r="AC29" s="5"/>
      <c r="AD29" s="5"/>
      <c r="AE29" s="5"/>
    </row>
    <row r="30">
      <c r="A30" s="21" t="s">
        <v>198</v>
      </c>
      <c r="B30" s="26">
        <v>4.1</v>
      </c>
      <c r="C30" s="27" t="s">
        <v>199</v>
      </c>
      <c r="D30" s="21"/>
      <c r="E30" s="30" t="s">
        <v>200</v>
      </c>
      <c r="F30" s="21"/>
      <c r="G30" s="21"/>
      <c r="H30" s="27" t="s">
        <v>168</v>
      </c>
      <c r="I30" s="21"/>
      <c r="J30" s="27" t="s">
        <v>201</v>
      </c>
      <c r="K30" s="21"/>
      <c r="L30" s="27" t="s">
        <v>202</v>
      </c>
      <c r="M30" s="21"/>
      <c r="N30" s="21"/>
      <c r="O30" s="21"/>
      <c r="P30" s="21"/>
      <c r="Q30" s="21"/>
      <c r="R30" s="21"/>
      <c r="S30" s="21"/>
      <c r="T30" s="21"/>
      <c r="U30" s="21"/>
      <c r="V30" s="21"/>
      <c r="W30" s="21"/>
      <c r="X30" s="21"/>
      <c r="Y30" s="21"/>
      <c r="Z30" s="21"/>
      <c r="AA30" s="21"/>
      <c r="AB30" s="21"/>
      <c r="AC30" s="21"/>
      <c r="AD30" s="21"/>
      <c r="AE30" s="21"/>
    </row>
    <row r="31">
      <c r="A31" s="21" t="s">
        <v>203</v>
      </c>
      <c r="B31" s="26">
        <v>4.4</v>
      </c>
      <c r="C31" s="31" t="s">
        <v>204</v>
      </c>
      <c r="D31" s="21"/>
      <c r="E31" s="32" t="s">
        <v>205</v>
      </c>
      <c r="F31" s="21"/>
      <c r="G31" s="21"/>
      <c r="H31" s="27" t="s">
        <v>168</v>
      </c>
      <c r="I31" s="21"/>
      <c r="J31" s="21"/>
      <c r="K31" s="21"/>
      <c r="L31" s="27" t="s">
        <v>202</v>
      </c>
      <c r="M31" s="21"/>
      <c r="N31" s="21"/>
      <c r="O31" s="21"/>
      <c r="P31" s="21"/>
      <c r="Q31" s="21"/>
      <c r="R31" s="21"/>
      <c r="S31" s="21"/>
      <c r="T31" s="21"/>
      <c r="U31" s="21"/>
      <c r="V31" s="21"/>
      <c r="W31" s="21"/>
      <c r="X31" s="21"/>
      <c r="Y31" s="21"/>
      <c r="Z31" s="21"/>
      <c r="AA31" s="21"/>
      <c r="AB31" s="21"/>
      <c r="AC31" s="21"/>
      <c r="AD31" s="21"/>
      <c r="AE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row>
    <row r="34">
      <c r="A34" s="29" t="s">
        <v>206</v>
      </c>
      <c r="B34" s="5"/>
      <c r="C34" s="5"/>
      <c r="D34" s="5"/>
      <c r="E34" s="5"/>
      <c r="F34" s="23" t="s">
        <v>23</v>
      </c>
      <c r="G34" s="23" t="s">
        <v>24</v>
      </c>
      <c r="H34" s="22" t="s">
        <v>163</v>
      </c>
      <c r="I34" s="5" t="s">
        <v>190</v>
      </c>
      <c r="J34" s="5" t="s">
        <v>191</v>
      </c>
      <c r="K34" s="5" t="s">
        <v>192</v>
      </c>
      <c r="L34" s="5" t="s">
        <v>193</v>
      </c>
      <c r="M34" s="5" t="s">
        <v>194</v>
      </c>
      <c r="N34" s="5" t="s">
        <v>195</v>
      </c>
      <c r="O34" s="5" t="s">
        <v>196</v>
      </c>
      <c r="P34" s="29" t="s">
        <v>197</v>
      </c>
      <c r="Q34" s="21"/>
      <c r="R34" s="21"/>
      <c r="S34" s="21"/>
      <c r="T34" s="21"/>
      <c r="U34" s="21"/>
      <c r="V34" s="21"/>
      <c r="W34" s="21"/>
      <c r="X34" s="21"/>
      <c r="Y34" s="21"/>
      <c r="Z34" s="21"/>
      <c r="AA34" s="21"/>
      <c r="AB34" s="21"/>
      <c r="AC34" s="21"/>
      <c r="AD34" s="21"/>
      <c r="AE34" s="21"/>
    </row>
    <row r="35">
      <c r="A35" s="21" t="s">
        <v>207</v>
      </c>
      <c r="B35" s="26">
        <v>4.2</v>
      </c>
      <c r="C35" s="27" t="s">
        <v>208</v>
      </c>
      <c r="D35" s="21"/>
      <c r="E35" s="32" t="s">
        <v>209</v>
      </c>
      <c r="F35" s="21"/>
      <c r="G35" s="21"/>
      <c r="H35" s="27" t="s">
        <v>210</v>
      </c>
      <c r="I35" s="21"/>
      <c r="J35" s="27" t="s">
        <v>211</v>
      </c>
      <c r="K35" s="21"/>
      <c r="L35" s="27" t="s">
        <v>202</v>
      </c>
      <c r="M35" s="21"/>
      <c r="N35" s="21"/>
      <c r="O35" s="21"/>
      <c r="P35" s="21"/>
      <c r="Q35" s="21"/>
      <c r="R35" s="21"/>
      <c r="S35" s="21"/>
      <c r="T35" s="21"/>
      <c r="U35" s="21"/>
      <c r="V35" s="21"/>
      <c r="W35" s="21"/>
      <c r="X35" s="21"/>
      <c r="Y35" s="21"/>
      <c r="Z35" s="21"/>
      <c r="AA35" s="21"/>
      <c r="AB35" s="21"/>
      <c r="AC35" s="21"/>
      <c r="AD35" s="21"/>
      <c r="AE35" s="21"/>
    </row>
    <row r="36">
      <c r="A36" s="21" t="s">
        <v>212</v>
      </c>
      <c r="B36" s="26">
        <v>4.2</v>
      </c>
      <c r="C36" s="27" t="s">
        <v>213</v>
      </c>
      <c r="D36" s="21"/>
      <c r="E36" s="32" t="s">
        <v>214</v>
      </c>
      <c r="F36" s="21"/>
      <c r="G36" s="21"/>
      <c r="H36" s="27" t="s">
        <v>210</v>
      </c>
      <c r="I36" s="21"/>
      <c r="J36" s="27" t="s">
        <v>215</v>
      </c>
      <c r="K36" s="21"/>
      <c r="L36" s="27" t="s">
        <v>202</v>
      </c>
      <c r="M36" s="21"/>
      <c r="N36" s="21"/>
      <c r="O36" s="21"/>
      <c r="P36" s="21"/>
      <c r="Q36" s="21"/>
      <c r="R36" s="21"/>
      <c r="S36" s="21"/>
      <c r="T36" s="21"/>
      <c r="U36" s="21"/>
      <c r="V36" s="21"/>
      <c r="W36" s="21"/>
      <c r="X36" s="21"/>
      <c r="Y36" s="21"/>
      <c r="Z36" s="21"/>
      <c r="AA36" s="21"/>
      <c r="AB36" s="21"/>
      <c r="AC36" s="21"/>
      <c r="AD36" s="21"/>
      <c r="AE36" s="21"/>
    </row>
    <row r="37">
      <c r="A37" s="21" t="s">
        <v>216</v>
      </c>
      <c r="B37" s="26">
        <v>4.2</v>
      </c>
      <c r="C37" s="27" t="s">
        <v>217</v>
      </c>
      <c r="D37" s="21"/>
      <c r="E37" s="32" t="s">
        <v>218</v>
      </c>
      <c r="F37" s="21"/>
      <c r="G37" s="21"/>
      <c r="H37" s="27" t="s">
        <v>210</v>
      </c>
      <c r="I37" s="21"/>
      <c r="J37" s="27" t="s">
        <v>215</v>
      </c>
      <c r="K37" s="21"/>
      <c r="L37" s="27" t="s">
        <v>202</v>
      </c>
      <c r="M37" s="21"/>
      <c r="N37" s="21"/>
      <c r="O37" s="21"/>
      <c r="P37" s="21"/>
      <c r="Q37" s="21"/>
      <c r="R37" s="21"/>
      <c r="S37" s="21"/>
      <c r="T37" s="21"/>
      <c r="U37" s="21"/>
      <c r="V37" s="21"/>
      <c r="W37" s="21"/>
      <c r="X37" s="21"/>
      <c r="Y37" s="21"/>
      <c r="Z37" s="21"/>
      <c r="AA37" s="21"/>
      <c r="AB37" s="21"/>
      <c r="AC37" s="21"/>
      <c r="AD37" s="21"/>
      <c r="AE37" s="21"/>
    </row>
    <row r="38">
      <c r="A38" s="21" t="s">
        <v>219</v>
      </c>
      <c r="B38" s="26">
        <v>4.3</v>
      </c>
      <c r="C38" s="27" t="s">
        <v>220</v>
      </c>
      <c r="D38" s="21"/>
      <c r="E38" s="32" t="s">
        <v>221</v>
      </c>
      <c r="F38" s="21"/>
      <c r="G38" s="21"/>
      <c r="H38" s="27" t="s">
        <v>222</v>
      </c>
      <c r="I38" s="21"/>
      <c r="J38" s="21"/>
      <c r="K38" s="21"/>
      <c r="L38" s="27" t="s">
        <v>202</v>
      </c>
      <c r="M38" s="21"/>
      <c r="N38" s="21"/>
      <c r="O38" s="21"/>
      <c r="P38" s="21"/>
      <c r="Q38" s="21"/>
      <c r="R38" s="21"/>
      <c r="S38" s="21"/>
      <c r="T38" s="21"/>
      <c r="U38" s="21"/>
      <c r="V38" s="21"/>
      <c r="W38" s="21"/>
      <c r="X38" s="21"/>
      <c r="Y38" s="21"/>
      <c r="Z38" s="21"/>
      <c r="AA38" s="21"/>
      <c r="AB38" s="21"/>
      <c r="AC38" s="21"/>
      <c r="AD38" s="21"/>
      <c r="AE38" s="21"/>
    </row>
    <row r="39">
      <c r="A39" s="21" t="s">
        <v>223</v>
      </c>
      <c r="B39" s="26">
        <v>4.3</v>
      </c>
      <c r="C39" s="27" t="s">
        <v>224</v>
      </c>
      <c r="D39" s="21"/>
      <c r="E39" s="32" t="s">
        <v>225</v>
      </c>
      <c r="F39" s="21"/>
      <c r="G39" s="21"/>
      <c r="H39" s="27" t="s">
        <v>222</v>
      </c>
      <c r="I39" s="21"/>
      <c r="J39" s="21"/>
      <c r="K39" s="21" t="s">
        <v>198</v>
      </c>
      <c r="L39" s="27" t="s">
        <v>202</v>
      </c>
      <c r="M39" s="21"/>
      <c r="N39" s="21"/>
      <c r="O39" s="21"/>
      <c r="P39" s="21"/>
      <c r="Q39" s="21"/>
      <c r="R39" s="21"/>
      <c r="S39" s="21"/>
      <c r="T39" s="21"/>
      <c r="U39" s="21"/>
      <c r="V39" s="21"/>
      <c r="W39" s="21"/>
      <c r="X39" s="21"/>
      <c r="Y39" s="21"/>
      <c r="Z39" s="21"/>
      <c r="AA39" s="21"/>
      <c r="AB39" s="21"/>
      <c r="AC39" s="21"/>
      <c r="AD39" s="21"/>
      <c r="AE39" s="21"/>
    </row>
    <row r="40">
      <c r="A40" s="21" t="s">
        <v>226</v>
      </c>
      <c r="B40" s="26">
        <v>4.3</v>
      </c>
      <c r="C40" s="27" t="s">
        <v>227</v>
      </c>
      <c r="D40" s="21"/>
      <c r="E40" s="32" t="s">
        <v>228</v>
      </c>
      <c r="F40" s="21"/>
      <c r="G40" s="21"/>
      <c r="H40" s="27" t="s">
        <v>222</v>
      </c>
      <c r="I40" s="21"/>
      <c r="J40" s="21"/>
      <c r="K40" s="21" t="s">
        <v>229</v>
      </c>
      <c r="L40" s="27" t="s">
        <v>202</v>
      </c>
      <c r="M40" s="21"/>
      <c r="N40" s="21"/>
      <c r="O40" s="21"/>
      <c r="P40" s="21"/>
      <c r="Q40" s="21"/>
      <c r="R40" s="21"/>
      <c r="S40" s="21"/>
      <c r="T40" s="21"/>
      <c r="U40" s="21"/>
      <c r="V40" s="21"/>
      <c r="W40" s="21"/>
      <c r="X40" s="21"/>
      <c r="Y40" s="21"/>
      <c r="Z40" s="21"/>
      <c r="AA40" s="21"/>
      <c r="AB40" s="21"/>
      <c r="AC40" s="21"/>
      <c r="AD40" s="21"/>
      <c r="AE40" s="21"/>
    </row>
    <row r="41">
      <c r="A41" s="21" t="s">
        <v>230</v>
      </c>
      <c r="B41" s="26">
        <v>4.3</v>
      </c>
      <c r="C41" s="27" t="s">
        <v>231</v>
      </c>
      <c r="D41" s="21"/>
      <c r="E41" s="32" t="s">
        <v>232</v>
      </c>
      <c r="F41" s="21"/>
      <c r="G41" s="21"/>
      <c r="H41" s="27" t="s">
        <v>222</v>
      </c>
      <c r="I41" s="21"/>
      <c r="J41" s="21"/>
      <c r="K41" s="21"/>
      <c r="L41" s="27" t="s">
        <v>233</v>
      </c>
      <c r="M41" s="21"/>
      <c r="N41" s="21"/>
      <c r="O41" s="21"/>
      <c r="P41" s="21"/>
      <c r="Q41" s="21"/>
      <c r="R41" s="21"/>
      <c r="S41" s="21"/>
      <c r="T41" s="21"/>
      <c r="U41" s="21"/>
      <c r="V41" s="21"/>
      <c r="W41" s="21"/>
      <c r="X41" s="21"/>
      <c r="Y41" s="21"/>
      <c r="Z41" s="21"/>
      <c r="AA41" s="21"/>
      <c r="AB41" s="21"/>
      <c r="AC41" s="21"/>
      <c r="AD41" s="21"/>
      <c r="AE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c r="AE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c r="AE1005" s="21"/>
    </row>
    <row r="1006">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c r="AE1006" s="21"/>
    </row>
    <row r="1007">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c r="AE1007" s="21"/>
    </row>
    <row r="1008">
      <c r="A1008" s="21"/>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c r="AD1008" s="21"/>
      <c r="AE1008" s="21"/>
    </row>
    <row r="1009">
      <c r="A1009" s="21"/>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c r="AD1009" s="21"/>
      <c r="AE1009" s="21"/>
    </row>
    <row r="1010">
      <c r="A1010" s="21"/>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c r="AD1010" s="21"/>
      <c r="AE1010" s="21"/>
    </row>
    <row r="1011">
      <c r="A1011" s="21"/>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c r="AD1011" s="21"/>
      <c r="AE1011" s="21"/>
    </row>
    <row r="1012">
      <c r="A1012" s="21"/>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c r="AD1012" s="21"/>
      <c r="AE1012" s="21"/>
    </row>
    <row r="1013">
      <c r="A1013" s="21"/>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c r="AD1013" s="21"/>
      <c r="AE1013" s="21"/>
    </row>
    <row r="1014">
      <c r="A1014" s="21"/>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c r="AE1014" s="21"/>
    </row>
    <row r="1015">
      <c r="A1015" s="21"/>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c r="AC1015" s="21"/>
      <c r="AD1015" s="21"/>
      <c r="AE1015" s="21"/>
    </row>
    <row r="1016">
      <c r="A1016" s="21"/>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c r="AE1016" s="21"/>
    </row>
    <row r="1017">
      <c r="A1017" s="21"/>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row>
    <row r="1018">
      <c r="A1018" s="21"/>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c r="AE1018" s="21"/>
    </row>
  </sheetData>
  <hyperlinks>
    <hyperlink r:id="rId2" ref="C4"/>
    <hyperlink r:id="rId3" ref="C5"/>
  </hyperlinks>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5" max="5" width="22.25"/>
  </cols>
  <sheetData>
    <row r="1">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c r="A2" s="15" t="s">
        <v>135</v>
      </c>
      <c r="B2" s="15" t="s">
        <v>136</v>
      </c>
      <c r="C2" s="14" t="s">
        <v>137</v>
      </c>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row>
    <row r="3">
      <c r="A3" s="14"/>
      <c r="B3" s="15" t="s">
        <v>138</v>
      </c>
      <c r="C3" s="14" t="s">
        <v>234</v>
      </c>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row>
    <row r="4">
      <c r="A4" s="14"/>
      <c r="B4" s="15" t="s">
        <v>140</v>
      </c>
      <c r="C4" s="17" t="s">
        <v>141</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row>
    <row r="5">
      <c r="A5" s="14"/>
      <c r="B5" s="15" t="s">
        <v>142</v>
      </c>
      <c r="C5" s="17" t="s">
        <v>143</v>
      </c>
      <c r="D5" s="15"/>
      <c r="E5" s="14"/>
      <c r="F5" s="15"/>
      <c r="G5" s="15"/>
      <c r="H5" s="15"/>
      <c r="I5" s="14"/>
      <c r="J5" s="14"/>
      <c r="K5" s="14"/>
      <c r="L5" s="14"/>
      <c r="M5" s="15"/>
      <c r="N5" s="15"/>
      <c r="O5" s="15"/>
      <c r="P5" s="15"/>
      <c r="Q5" s="15"/>
      <c r="R5" s="15"/>
      <c r="S5" s="15"/>
      <c r="T5" s="14"/>
      <c r="U5" s="14"/>
      <c r="V5" s="14"/>
      <c r="W5" s="14"/>
      <c r="X5" s="14"/>
      <c r="Y5" s="14"/>
      <c r="Z5" s="14"/>
      <c r="AA5" s="14"/>
      <c r="AB5" s="14"/>
      <c r="AC5" s="14"/>
      <c r="AD5" s="14"/>
      <c r="AE5" s="14"/>
    </row>
    <row r="6">
      <c r="A6" s="18" t="s">
        <v>144</v>
      </c>
      <c r="B6" s="18" t="s">
        <v>145</v>
      </c>
      <c r="C6" s="18" t="s">
        <v>146</v>
      </c>
      <c r="D6" s="18" t="s">
        <v>147</v>
      </c>
      <c r="E6" s="19" t="s">
        <v>148</v>
      </c>
      <c r="F6" s="18" t="s">
        <v>149</v>
      </c>
      <c r="G6" s="18" t="s">
        <v>150</v>
      </c>
      <c r="H6" s="18" t="s">
        <v>151</v>
      </c>
      <c r="I6" s="18" t="s">
        <v>148</v>
      </c>
      <c r="J6" s="18" t="s">
        <v>152</v>
      </c>
      <c r="K6" s="18" t="s">
        <v>153</v>
      </c>
      <c r="L6" s="18" t="s">
        <v>154</v>
      </c>
      <c r="M6" s="18" t="s">
        <v>155</v>
      </c>
      <c r="N6" s="18" t="s">
        <v>153</v>
      </c>
      <c r="O6" s="18" t="s">
        <v>156</v>
      </c>
      <c r="P6" s="18" t="s">
        <v>154</v>
      </c>
      <c r="Q6" s="18" t="s">
        <v>157</v>
      </c>
      <c r="R6" s="18" t="s">
        <v>158</v>
      </c>
      <c r="S6" s="18" t="s">
        <v>159</v>
      </c>
      <c r="T6" s="20"/>
      <c r="U6" s="20"/>
      <c r="V6" s="20"/>
      <c r="W6" s="20"/>
      <c r="X6" s="20"/>
      <c r="Y6" s="20"/>
      <c r="Z6" s="20"/>
      <c r="AA6" s="20"/>
      <c r="AB6" s="20"/>
      <c r="AC6" s="20"/>
      <c r="AD6" s="20"/>
      <c r="AE6" s="20"/>
    </row>
    <row r="7">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row>
    <row r="8">
      <c r="A8" s="22" t="s">
        <v>160</v>
      </c>
      <c r="B8" s="23" t="s">
        <v>26</v>
      </c>
      <c r="C8" s="23" t="s">
        <v>161</v>
      </c>
      <c r="D8" s="23" t="s">
        <v>162</v>
      </c>
      <c r="E8" s="23" t="s">
        <v>22</v>
      </c>
      <c r="F8" s="23" t="s">
        <v>23</v>
      </c>
      <c r="G8" s="23" t="s">
        <v>24</v>
      </c>
      <c r="H8" s="22" t="s">
        <v>163</v>
      </c>
      <c r="I8" s="24"/>
      <c r="J8" s="24"/>
      <c r="K8" s="24"/>
      <c r="L8" s="24"/>
      <c r="M8" s="24"/>
      <c r="N8" s="24"/>
      <c r="O8" s="24"/>
      <c r="P8" s="24"/>
      <c r="Q8" s="24"/>
      <c r="R8" s="24"/>
      <c r="S8" s="24"/>
      <c r="T8" s="24"/>
      <c r="U8" s="24"/>
      <c r="V8" s="24"/>
      <c r="W8" s="24"/>
      <c r="X8" s="24"/>
      <c r="Y8" s="24"/>
      <c r="Z8" s="24"/>
      <c r="AA8" s="24"/>
      <c r="AB8" s="24"/>
      <c r="AC8" s="24"/>
      <c r="AD8" s="24"/>
      <c r="AE8" s="24"/>
    </row>
    <row r="9">
      <c r="A9" s="25" t="s">
        <v>164</v>
      </c>
      <c r="B9" s="26">
        <v>4.0</v>
      </c>
      <c r="C9" s="25" t="s">
        <v>165</v>
      </c>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row>
    <row r="10">
      <c r="A10" s="25" t="s">
        <v>166</v>
      </c>
      <c r="B10" s="26">
        <v>4.2</v>
      </c>
      <c r="C10" s="27" t="s">
        <v>167</v>
      </c>
      <c r="D10" s="21"/>
      <c r="E10" s="25" t="s">
        <v>235</v>
      </c>
      <c r="F10" s="21"/>
      <c r="G10" s="21"/>
      <c r="H10" s="27" t="s">
        <v>168</v>
      </c>
      <c r="I10" s="21"/>
      <c r="J10" s="21"/>
      <c r="K10" s="21"/>
      <c r="L10" s="21"/>
      <c r="M10" s="21"/>
      <c r="N10" s="21"/>
      <c r="O10" s="21"/>
      <c r="P10" s="21"/>
      <c r="Q10" s="21"/>
      <c r="R10" s="21"/>
      <c r="S10" s="21"/>
      <c r="T10" s="21"/>
      <c r="U10" s="21"/>
      <c r="V10" s="21"/>
      <c r="W10" s="21"/>
      <c r="X10" s="21"/>
      <c r="Y10" s="21"/>
      <c r="Z10" s="21"/>
      <c r="AA10" s="21"/>
      <c r="AB10" s="21"/>
      <c r="AC10" s="21"/>
      <c r="AD10" s="21"/>
      <c r="AE10" s="21"/>
    </row>
    <row r="11">
      <c r="A11" s="25" t="s">
        <v>169</v>
      </c>
      <c r="B11" s="26">
        <v>4.3</v>
      </c>
      <c r="C11" s="27" t="s">
        <v>170</v>
      </c>
      <c r="D11" s="21"/>
      <c r="E11" s="21"/>
      <c r="F11" s="21"/>
      <c r="G11" s="21"/>
      <c r="H11" s="27" t="s">
        <v>168</v>
      </c>
      <c r="I11" s="21"/>
      <c r="J11" s="21"/>
      <c r="K11" s="21"/>
      <c r="L11" s="21"/>
      <c r="M11" s="21"/>
      <c r="N11" s="21"/>
      <c r="O11" s="21"/>
      <c r="P11" s="21"/>
      <c r="Q11" s="21"/>
      <c r="R11" s="21"/>
      <c r="S11" s="21"/>
      <c r="T11" s="21"/>
      <c r="U11" s="21"/>
      <c r="V11" s="21"/>
      <c r="W11" s="21"/>
      <c r="X11" s="21"/>
      <c r="Y11" s="21"/>
      <c r="Z11" s="21"/>
      <c r="AA11" s="21"/>
      <c r="AB11" s="21"/>
      <c r="AC11" s="21"/>
      <c r="AD11" s="21"/>
      <c r="AE11" s="21"/>
    </row>
    <row r="12">
      <c r="A12" s="25" t="s">
        <v>171</v>
      </c>
      <c r="B12" s="26">
        <v>5.0</v>
      </c>
      <c r="C12" s="21" t="s">
        <v>172</v>
      </c>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row>
    <row r="13">
      <c r="A13" s="25" t="s">
        <v>173</v>
      </c>
      <c r="B13" s="26">
        <v>6.0</v>
      </c>
      <c r="C13" s="21" t="s">
        <v>174</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row>
    <row r="14">
      <c r="A14" s="25" t="s">
        <v>175</v>
      </c>
      <c r="B14" s="26">
        <v>7.0</v>
      </c>
      <c r="C14" s="21" t="s">
        <v>176</v>
      </c>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row>
    <row r="15">
      <c r="A15" s="25" t="s">
        <v>177</v>
      </c>
      <c r="B15" s="26">
        <v>8.0</v>
      </c>
      <c r="C15" s="21" t="s">
        <v>178</v>
      </c>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row>
    <row r="16">
      <c r="A16" s="25" t="s">
        <v>179</v>
      </c>
      <c r="B16" s="26">
        <v>9.0</v>
      </c>
      <c r="C16" s="21" t="s">
        <v>180</v>
      </c>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row>
    <row r="17">
      <c r="A17" s="25" t="s">
        <v>181</v>
      </c>
      <c r="B17" s="26">
        <v>10.0</v>
      </c>
      <c r="C17" s="21" t="s">
        <v>182</v>
      </c>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row>
    <row r="18">
      <c r="A18" s="25" t="s">
        <v>183</v>
      </c>
      <c r="B18" s="26"/>
      <c r="C18" s="21"/>
      <c r="D18" s="21"/>
      <c r="E18" s="21"/>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row>
    <row r="19">
      <c r="A19" s="25" t="s">
        <v>184</v>
      </c>
      <c r="B19" s="26"/>
      <c r="C19" s="21"/>
      <c r="D19" s="21"/>
      <c r="E19" s="21"/>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row>
    <row r="20">
      <c r="A20" s="28" t="s">
        <v>185</v>
      </c>
      <c r="B20" s="26"/>
      <c r="C20" s="21"/>
      <c r="D20" s="21"/>
      <c r="E20" s="21"/>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row>
    <row r="21">
      <c r="A21" s="28" t="s">
        <v>186</v>
      </c>
      <c r="B21" s="26"/>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row>
    <row r="22">
      <c r="A22" s="25" t="s">
        <v>187</v>
      </c>
      <c r="B22" s="26"/>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row>
    <row r="23">
      <c r="A23" s="28" t="s">
        <v>188</v>
      </c>
      <c r="B23" s="26"/>
      <c r="C23" s="21"/>
      <c r="D23" s="21"/>
      <c r="E23" s="21"/>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row>
    <row r="24">
      <c r="A24" s="21"/>
      <c r="B24" s="26"/>
      <c r="C24" s="21"/>
      <c r="D24" s="21"/>
      <c r="E24" s="2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row>
    <row r="25">
      <c r="A25" s="21"/>
      <c r="B25" s="26"/>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row>
    <row r="26">
      <c r="A26" s="21"/>
      <c r="B26" s="26"/>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row>
    <row r="27">
      <c r="A27" s="21"/>
      <c r="B27" s="26"/>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row>
    <row r="28">
      <c r="A28" s="21"/>
      <c r="B28" s="26"/>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row>
    <row r="29">
      <c r="A29" s="29" t="s">
        <v>189</v>
      </c>
      <c r="B29" s="5"/>
      <c r="C29" s="5"/>
      <c r="D29" s="5"/>
      <c r="E29" s="5"/>
      <c r="F29" s="23" t="s">
        <v>23</v>
      </c>
      <c r="G29" s="23" t="s">
        <v>24</v>
      </c>
      <c r="H29" s="22" t="s">
        <v>163</v>
      </c>
      <c r="I29" s="5" t="s">
        <v>190</v>
      </c>
      <c r="J29" s="5" t="s">
        <v>191</v>
      </c>
      <c r="K29" s="5" t="s">
        <v>192</v>
      </c>
      <c r="L29" s="5" t="s">
        <v>193</v>
      </c>
      <c r="M29" s="5" t="s">
        <v>194</v>
      </c>
      <c r="N29" s="5" t="s">
        <v>195</v>
      </c>
      <c r="O29" s="5" t="s">
        <v>196</v>
      </c>
      <c r="P29" s="29" t="s">
        <v>197</v>
      </c>
      <c r="Q29" s="5"/>
      <c r="R29" s="5"/>
      <c r="S29" s="5"/>
      <c r="T29" s="5"/>
      <c r="U29" s="5"/>
      <c r="V29" s="5"/>
      <c r="W29" s="5"/>
      <c r="X29" s="5"/>
      <c r="Y29" s="5"/>
      <c r="Z29" s="5"/>
      <c r="AA29" s="5"/>
      <c r="AB29" s="5"/>
      <c r="AC29" s="5"/>
      <c r="AD29" s="5"/>
      <c r="AE29" s="5"/>
    </row>
    <row r="30">
      <c r="A30" s="21" t="s">
        <v>198</v>
      </c>
      <c r="B30" s="26">
        <v>4.1</v>
      </c>
      <c r="C30" s="27" t="s">
        <v>199</v>
      </c>
      <c r="D30" s="21"/>
      <c r="E30" s="30" t="s">
        <v>200</v>
      </c>
      <c r="F30" s="21"/>
      <c r="G30" s="21"/>
      <c r="H30" s="27" t="s">
        <v>168</v>
      </c>
      <c r="I30" s="21"/>
      <c r="J30" s="27" t="s">
        <v>201</v>
      </c>
      <c r="K30" s="21"/>
      <c r="L30" s="27" t="s">
        <v>202</v>
      </c>
      <c r="M30" s="21"/>
      <c r="N30" s="21"/>
      <c r="O30" s="21"/>
      <c r="P30" s="21"/>
      <c r="Q30" s="21"/>
      <c r="R30" s="21"/>
      <c r="S30" s="21"/>
      <c r="T30" s="21"/>
      <c r="U30" s="21"/>
      <c r="V30" s="21"/>
      <c r="W30" s="21"/>
      <c r="X30" s="21"/>
      <c r="Y30" s="21"/>
      <c r="Z30" s="21"/>
      <c r="AA30" s="21"/>
      <c r="AB30" s="21"/>
      <c r="AC30" s="21"/>
      <c r="AD30" s="21"/>
      <c r="AE30" s="21"/>
    </row>
    <row r="31">
      <c r="A31" s="21" t="s">
        <v>203</v>
      </c>
      <c r="B31" s="26">
        <v>4.4</v>
      </c>
      <c r="C31" s="31" t="s">
        <v>204</v>
      </c>
      <c r="D31" s="21"/>
      <c r="E31" s="32" t="s">
        <v>205</v>
      </c>
      <c r="F31" s="21"/>
      <c r="G31" s="21"/>
      <c r="H31" s="27" t="s">
        <v>168</v>
      </c>
      <c r="I31" s="21"/>
      <c r="J31" s="21"/>
      <c r="K31" s="21"/>
      <c r="L31" s="27" t="s">
        <v>202</v>
      </c>
      <c r="M31" s="21"/>
      <c r="N31" s="21"/>
      <c r="O31" s="21"/>
      <c r="P31" s="21"/>
      <c r="Q31" s="21"/>
      <c r="R31" s="21"/>
      <c r="S31" s="21"/>
      <c r="T31" s="21"/>
      <c r="U31" s="21"/>
      <c r="V31" s="21"/>
      <c r="W31" s="21"/>
      <c r="X31" s="21"/>
      <c r="Y31" s="21"/>
      <c r="Z31" s="21"/>
      <c r="AA31" s="21"/>
      <c r="AB31" s="21"/>
      <c r="AC31" s="21"/>
      <c r="AD31" s="21"/>
      <c r="AE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row>
    <row r="34">
      <c r="A34" s="29" t="s">
        <v>206</v>
      </c>
      <c r="B34" s="5"/>
      <c r="C34" s="5"/>
      <c r="D34" s="5"/>
      <c r="E34" s="5"/>
      <c r="F34" s="23" t="s">
        <v>23</v>
      </c>
      <c r="G34" s="23" t="s">
        <v>24</v>
      </c>
      <c r="H34" s="22" t="s">
        <v>163</v>
      </c>
      <c r="I34" s="5" t="s">
        <v>190</v>
      </c>
      <c r="J34" s="5" t="s">
        <v>191</v>
      </c>
      <c r="K34" s="5" t="s">
        <v>192</v>
      </c>
      <c r="L34" s="5" t="s">
        <v>193</v>
      </c>
      <c r="M34" s="5" t="s">
        <v>194</v>
      </c>
      <c r="N34" s="5" t="s">
        <v>195</v>
      </c>
      <c r="O34" s="5" t="s">
        <v>196</v>
      </c>
      <c r="P34" s="29" t="s">
        <v>197</v>
      </c>
      <c r="Q34" s="21"/>
      <c r="R34" s="21"/>
      <c r="S34" s="21"/>
      <c r="T34" s="21"/>
      <c r="U34" s="21"/>
      <c r="V34" s="21"/>
      <c r="W34" s="21"/>
      <c r="X34" s="21"/>
      <c r="Y34" s="21"/>
      <c r="Z34" s="21"/>
      <c r="AA34" s="21"/>
      <c r="AB34" s="21"/>
      <c r="AC34" s="21"/>
      <c r="AD34" s="21"/>
      <c r="AE34" s="21"/>
    </row>
    <row r="35">
      <c r="A35" s="21" t="s">
        <v>207</v>
      </c>
      <c r="B35" s="26">
        <v>4.2</v>
      </c>
      <c r="C35" s="27" t="s">
        <v>208</v>
      </c>
      <c r="D35" s="21"/>
      <c r="E35" s="32" t="s">
        <v>209</v>
      </c>
      <c r="F35" s="21"/>
      <c r="G35" s="21"/>
      <c r="H35" s="27" t="s">
        <v>210</v>
      </c>
      <c r="I35" s="21"/>
      <c r="J35" s="27" t="s">
        <v>211</v>
      </c>
      <c r="K35" s="21"/>
      <c r="L35" s="27" t="s">
        <v>202</v>
      </c>
      <c r="M35" s="21"/>
      <c r="N35" s="21"/>
      <c r="O35" s="21"/>
      <c r="P35" s="21"/>
      <c r="Q35" s="21"/>
      <c r="R35" s="21"/>
      <c r="S35" s="21"/>
      <c r="T35" s="21"/>
      <c r="U35" s="21"/>
      <c r="V35" s="21"/>
      <c r="W35" s="21"/>
      <c r="X35" s="21"/>
      <c r="Y35" s="21"/>
      <c r="Z35" s="21"/>
      <c r="AA35" s="21"/>
      <c r="AB35" s="21"/>
      <c r="AC35" s="21"/>
      <c r="AD35" s="21"/>
      <c r="AE35" s="21"/>
    </row>
    <row r="36">
      <c r="A36" s="21" t="s">
        <v>212</v>
      </c>
      <c r="B36" s="26">
        <v>4.2</v>
      </c>
      <c r="C36" s="27" t="s">
        <v>213</v>
      </c>
      <c r="D36" s="21"/>
      <c r="E36" s="32" t="s">
        <v>214</v>
      </c>
      <c r="F36" s="21"/>
      <c r="G36" s="21"/>
      <c r="H36" s="27" t="s">
        <v>210</v>
      </c>
      <c r="I36" s="21"/>
      <c r="J36" s="27" t="s">
        <v>215</v>
      </c>
      <c r="K36" s="21"/>
      <c r="L36" s="27" t="s">
        <v>202</v>
      </c>
      <c r="M36" s="21"/>
      <c r="N36" s="21"/>
      <c r="O36" s="21"/>
      <c r="P36" s="21"/>
      <c r="Q36" s="21"/>
      <c r="R36" s="21"/>
      <c r="S36" s="21"/>
      <c r="T36" s="21"/>
      <c r="U36" s="21"/>
      <c r="V36" s="21"/>
      <c r="W36" s="21"/>
      <c r="X36" s="21"/>
      <c r="Y36" s="21"/>
      <c r="Z36" s="21"/>
      <c r="AA36" s="21"/>
      <c r="AB36" s="21"/>
      <c r="AC36" s="21"/>
      <c r="AD36" s="21"/>
      <c r="AE36" s="21"/>
    </row>
    <row r="37">
      <c r="A37" s="21" t="s">
        <v>216</v>
      </c>
      <c r="B37" s="26">
        <v>4.2</v>
      </c>
      <c r="C37" s="27" t="s">
        <v>217</v>
      </c>
      <c r="D37" s="21"/>
      <c r="E37" s="32" t="s">
        <v>218</v>
      </c>
      <c r="F37" s="21"/>
      <c r="G37" s="21"/>
      <c r="H37" s="27" t="s">
        <v>210</v>
      </c>
      <c r="I37" s="21"/>
      <c r="J37" s="27" t="s">
        <v>215</v>
      </c>
      <c r="K37" s="21"/>
      <c r="L37" s="27" t="s">
        <v>202</v>
      </c>
      <c r="M37" s="21"/>
      <c r="N37" s="21"/>
      <c r="O37" s="21"/>
      <c r="P37" s="21"/>
      <c r="Q37" s="21"/>
      <c r="R37" s="21"/>
      <c r="S37" s="21"/>
      <c r="T37" s="21"/>
      <c r="U37" s="21"/>
      <c r="V37" s="21"/>
      <c r="W37" s="21"/>
      <c r="X37" s="21"/>
      <c r="Y37" s="21"/>
      <c r="Z37" s="21"/>
      <c r="AA37" s="21"/>
      <c r="AB37" s="21"/>
      <c r="AC37" s="21"/>
      <c r="AD37" s="21"/>
      <c r="AE37" s="21"/>
    </row>
    <row r="38">
      <c r="A38" s="21" t="s">
        <v>219</v>
      </c>
      <c r="B38" s="26">
        <v>4.3</v>
      </c>
      <c r="C38" s="27" t="s">
        <v>220</v>
      </c>
      <c r="D38" s="21"/>
      <c r="E38" s="32" t="s">
        <v>221</v>
      </c>
      <c r="F38" s="21"/>
      <c r="G38" s="21"/>
      <c r="H38" s="27" t="s">
        <v>222</v>
      </c>
      <c r="I38" s="21"/>
      <c r="J38" s="21"/>
      <c r="K38" s="21"/>
      <c r="L38" s="27" t="s">
        <v>202</v>
      </c>
      <c r="M38" s="21"/>
      <c r="N38" s="21"/>
      <c r="O38" s="21"/>
      <c r="P38" s="21"/>
      <c r="Q38" s="21"/>
      <c r="R38" s="21"/>
      <c r="S38" s="21"/>
      <c r="T38" s="21"/>
      <c r="U38" s="21"/>
      <c r="V38" s="21"/>
      <c r="W38" s="21"/>
      <c r="X38" s="21"/>
      <c r="Y38" s="21"/>
      <c r="Z38" s="21"/>
      <c r="AA38" s="21"/>
      <c r="AB38" s="21"/>
      <c r="AC38" s="21"/>
      <c r="AD38" s="21"/>
      <c r="AE38" s="21"/>
    </row>
    <row r="39">
      <c r="A39" s="21" t="s">
        <v>223</v>
      </c>
      <c r="B39" s="26">
        <v>4.3</v>
      </c>
      <c r="C39" s="27" t="s">
        <v>224</v>
      </c>
      <c r="D39" s="21"/>
      <c r="E39" s="32" t="s">
        <v>225</v>
      </c>
      <c r="F39" s="21"/>
      <c r="G39" s="21"/>
      <c r="H39" s="27" t="s">
        <v>222</v>
      </c>
      <c r="I39" s="21"/>
      <c r="J39" s="21"/>
      <c r="K39" s="21" t="s">
        <v>198</v>
      </c>
      <c r="L39" s="27" t="s">
        <v>202</v>
      </c>
      <c r="M39" s="21"/>
      <c r="N39" s="21"/>
      <c r="O39" s="21"/>
      <c r="P39" s="21"/>
      <c r="Q39" s="21"/>
      <c r="R39" s="21"/>
      <c r="S39" s="21"/>
      <c r="T39" s="21"/>
      <c r="U39" s="21"/>
      <c r="V39" s="21"/>
      <c r="W39" s="21"/>
      <c r="X39" s="21"/>
      <c r="Y39" s="21"/>
      <c r="Z39" s="21"/>
      <c r="AA39" s="21"/>
      <c r="AB39" s="21"/>
      <c r="AC39" s="21"/>
      <c r="AD39" s="21"/>
      <c r="AE39" s="21"/>
    </row>
    <row r="40">
      <c r="A40" s="21" t="s">
        <v>226</v>
      </c>
      <c r="B40" s="26">
        <v>4.3</v>
      </c>
      <c r="C40" s="27" t="s">
        <v>227</v>
      </c>
      <c r="D40" s="21"/>
      <c r="E40" s="32" t="s">
        <v>228</v>
      </c>
      <c r="F40" s="21"/>
      <c r="G40" s="21"/>
      <c r="H40" s="27" t="s">
        <v>222</v>
      </c>
      <c r="I40" s="21"/>
      <c r="J40" s="21"/>
      <c r="K40" s="21" t="s">
        <v>229</v>
      </c>
      <c r="L40" s="27" t="s">
        <v>202</v>
      </c>
      <c r="M40" s="21"/>
      <c r="N40" s="21"/>
      <c r="O40" s="21"/>
      <c r="P40" s="21"/>
      <c r="Q40" s="21"/>
      <c r="R40" s="21"/>
      <c r="S40" s="21"/>
      <c r="T40" s="21"/>
      <c r="U40" s="21"/>
      <c r="V40" s="21"/>
      <c r="W40" s="21"/>
      <c r="X40" s="21"/>
      <c r="Y40" s="21"/>
      <c r="Z40" s="21"/>
      <c r="AA40" s="21"/>
      <c r="AB40" s="21"/>
      <c r="AC40" s="21"/>
      <c r="AD40" s="21"/>
      <c r="AE40" s="21"/>
    </row>
    <row r="41">
      <c r="A41" s="21" t="s">
        <v>230</v>
      </c>
      <c r="B41" s="26">
        <v>4.3</v>
      </c>
      <c r="C41" s="27" t="s">
        <v>231</v>
      </c>
      <c r="D41" s="21"/>
      <c r="E41" s="32" t="s">
        <v>232</v>
      </c>
      <c r="F41" s="21"/>
      <c r="G41" s="21"/>
      <c r="H41" s="27" t="s">
        <v>222</v>
      </c>
      <c r="I41" s="21"/>
      <c r="J41" s="21"/>
      <c r="K41" s="21"/>
      <c r="L41" s="27" t="s">
        <v>233</v>
      </c>
      <c r="M41" s="21"/>
      <c r="N41" s="21"/>
      <c r="O41" s="21"/>
      <c r="P41" s="21"/>
      <c r="Q41" s="21"/>
      <c r="R41" s="21"/>
      <c r="S41" s="21"/>
      <c r="T41" s="21"/>
      <c r="U41" s="21"/>
      <c r="V41" s="21"/>
      <c r="W41" s="21"/>
      <c r="X41" s="21"/>
      <c r="Y41" s="21"/>
      <c r="Z41" s="21"/>
      <c r="AA41" s="21"/>
      <c r="AB41" s="21"/>
      <c r="AC41" s="21"/>
      <c r="AD41" s="21"/>
      <c r="AE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c r="AE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c r="AE1005" s="21"/>
    </row>
    <row r="1006">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c r="AE1006" s="21"/>
    </row>
    <row r="1007">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c r="AE1007" s="21"/>
    </row>
    <row r="1008">
      <c r="A1008" s="21"/>
      <c r="B1008" s="21"/>
      <c r="C1008" s="21"/>
      <c r="D1008" s="21"/>
      <c r="E1008" s="21"/>
      <c r="F1008" s="21"/>
      <c r="G1008" s="21"/>
      <c r="H1008" s="21"/>
      <c r="I1008" s="21"/>
      <c r="J1008" s="21"/>
      <c r="K1008" s="21"/>
      <c r="L1008" s="21"/>
      <c r="M1008" s="21"/>
      <c r="N1008" s="21"/>
      <c r="O1008" s="21"/>
      <c r="P1008" s="21"/>
      <c r="Q1008" s="21"/>
      <c r="R1008" s="21"/>
      <c r="S1008" s="21"/>
      <c r="T1008" s="21"/>
      <c r="U1008" s="21"/>
      <c r="V1008" s="21"/>
      <c r="W1008" s="21"/>
      <c r="X1008" s="21"/>
      <c r="Y1008" s="21"/>
      <c r="Z1008" s="21"/>
      <c r="AA1008" s="21"/>
      <c r="AB1008" s="21"/>
      <c r="AC1008" s="21"/>
      <c r="AD1008" s="21"/>
      <c r="AE1008" s="21"/>
    </row>
    <row r="1009">
      <c r="A1009" s="21"/>
      <c r="B1009" s="21"/>
      <c r="C1009" s="21"/>
      <c r="D1009" s="21"/>
      <c r="E1009" s="21"/>
      <c r="F1009" s="21"/>
      <c r="G1009" s="21"/>
      <c r="H1009" s="21"/>
      <c r="I1009" s="21"/>
      <c r="J1009" s="21"/>
      <c r="K1009" s="21"/>
      <c r="L1009" s="21"/>
      <c r="M1009" s="21"/>
      <c r="N1009" s="21"/>
      <c r="O1009" s="21"/>
      <c r="P1009" s="21"/>
      <c r="Q1009" s="21"/>
      <c r="R1009" s="21"/>
      <c r="S1009" s="21"/>
      <c r="T1009" s="21"/>
      <c r="U1009" s="21"/>
      <c r="V1009" s="21"/>
      <c r="W1009" s="21"/>
      <c r="X1009" s="21"/>
      <c r="Y1009" s="21"/>
      <c r="Z1009" s="21"/>
      <c r="AA1009" s="21"/>
      <c r="AB1009" s="21"/>
      <c r="AC1009" s="21"/>
      <c r="AD1009" s="21"/>
      <c r="AE1009" s="21"/>
    </row>
    <row r="1010">
      <c r="A1010" s="21"/>
      <c r="B1010" s="21"/>
      <c r="C1010" s="21"/>
      <c r="D1010" s="21"/>
      <c r="E1010" s="21"/>
      <c r="F1010" s="21"/>
      <c r="G1010" s="21"/>
      <c r="H1010" s="21"/>
      <c r="I1010" s="21"/>
      <c r="J1010" s="21"/>
      <c r="K1010" s="21"/>
      <c r="L1010" s="21"/>
      <c r="M1010" s="21"/>
      <c r="N1010" s="21"/>
      <c r="O1010" s="21"/>
      <c r="P1010" s="21"/>
      <c r="Q1010" s="21"/>
      <c r="R1010" s="21"/>
      <c r="S1010" s="21"/>
      <c r="T1010" s="21"/>
      <c r="U1010" s="21"/>
      <c r="V1010" s="21"/>
      <c r="W1010" s="21"/>
      <c r="X1010" s="21"/>
      <c r="Y1010" s="21"/>
      <c r="Z1010" s="21"/>
      <c r="AA1010" s="21"/>
      <c r="AB1010" s="21"/>
      <c r="AC1010" s="21"/>
      <c r="AD1010" s="21"/>
      <c r="AE1010" s="21"/>
    </row>
    <row r="1011">
      <c r="A1011" s="21"/>
      <c r="B1011" s="21"/>
      <c r="C1011" s="21"/>
      <c r="D1011" s="21"/>
      <c r="E1011" s="21"/>
      <c r="F1011" s="21"/>
      <c r="G1011" s="21"/>
      <c r="H1011" s="21"/>
      <c r="I1011" s="21"/>
      <c r="J1011" s="21"/>
      <c r="K1011" s="21"/>
      <c r="L1011" s="21"/>
      <c r="M1011" s="21"/>
      <c r="N1011" s="21"/>
      <c r="O1011" s="21"/>
      <c r="P1011" s="21"/>
      <c r="Q1011" s="21"/>
      <c r="R1011" s="21"/>
      <c r="S1011" s="21"/>
      <c r="T1011" s="21"/>
      <c r="U1011" s="21"/>
      <c r="V1011" s="21"/>
      <c r="W1011" s="21"/>
      <c r="X1011" s="21"/>
      <c r="Y1011" s="21"/>
      <c r="Z1011" s="21"/>
      <c r="AA1011" s="21"/>
      <c r="AB1011" s="21"/>
      <c r="AC1011" s="21"/>
      <c r="AD1011" s="21"/>
      <c r="AE1011" s="21"/>
    </row>
    <row r="1012">
      <c r="A1012" s="21"/>
      <c r="B1012" s="21"/>
      <c r="C1012" s="21"/>
      <c r="D1012" s="21"/>
      <c r="E1012" s="21"/>
      <c r="F1012" s="21"/>
      <c r="G1012" s="21"/>
      <c r="H1012" s="21"/>
      <c r="I1012" s="21"/>
      <c r="J1012" s="21"/>
      <c r="K1012" s="21"/>
      <c r="L1012" s="21"/>
      <c r="M1012" s="21"/>
      <c r="N1012" s="21"/>
      <c r="O1012" s="21"/>
      <c r="P1012" s="21"/>
      <c r="Q1012" s="21"/>
      <c r="R1012" s="21"/>
      <c r="S1012" s="21"/>
      <c r="T1012" s="21"/>
      <c r="U1012" s="21"/>
      <c r="V1012" s="21"/>
      <c r="W1012" s="21"/>
      <c r="X1012" s="21"/>
      <c r="Y1012" s="21"/>
      <c r="Z1012" s="21"/>
      <c r="AA1012" s="21"/>
      <c r="AB1012" s="21"/>
      <c r="AC1012" s="21"/>
      <c r="AD1012" s="21"/>
      <c r="AE1012" s="21"/>
    </row>
    <row r="1013">
      <c r="A1013" s="21"/>
      <c r="B1013" s="21"/>
      <c r="C1013" s="21"/>
      <c r="D1013" s="21"/>
      <c r="E1013" s="21"/>
      <c r="F1013" s="21"/>
      <c r="G1013" s="21"/>
      <c r="H1013" s="21"/>
      <c r="I1013" s="21"/>
      <c r="J1013" s="21"/>
      <c r="K1013" s="21"/>
      <c r="L1013" s="21"/>
      <c r="M1013" s="21"/>
      <c r="N1013" s="21"/>
      <c r="O1013" s="21"/>
      <c r="P1013" s="21"/>
      <c r="Q1013" s="21"/>
      <c r="R1013" s="21"/>
      <c r="S1013" s="21"/>
      <c r="T1013" s="21"/>
      <c r="U1013" s="21"/>
      <c r="V1013" s="21"/>
      <c r="W1013" s="21"/>
      <c r="X1013" s="21"/>
      <c r="Y1013" s="21"/>
      <c r="Z1013" s="21"/>
      <c r="AA1013" s="21"/>
      <c r="AB1013" s="21"/>
      <c r="AC1013" s="21"/>
      <c r="AD1013" s="21"/>
      <c r="AE1013" s="21"/>
    </row>
    <row r="1014">
      <c r="A1014" s="21"/>
      <c r="B1014" s="21"/>
      <c r="C1014" s="21"/>
      <c r="D1014" s="21"/>
      <c r="E1014" s="21"/>
      <c r="F1014" s="21"/>
      <c r="G1014" s="21"/>
      <c r="H1014" s="21"/>
      <c r="I1014" s="21"/>
      <c r="J1014" s="21"/>
      <c r="K1014" s="21"/>
      <c r="L1014" s="21"/>
      <c r="M1014" s="21"/>
      <c r="N1014" s="21"/>
      <c r="O1014" s="21"/>
      <c r="P1014" s="21"/>
      <c r="Q1014" s="21"/>
      <c r="R1014" s="21"/>
      <c r="S1014" s="21"/>
      <c r="T1014" s="21"/>
      <c r="U1014" s="21"/>
      <c r="V1014" s="21"/>
      <c r="W1014" s="21"/>
      <c r="X1014" s="21"/>
      <c r="Y1014" s="21"/>
      <c r="Z1014" s="21"/>
      <c r="AA1014" s="21"/>
      <c r="AB1014" s="21"/>
      <c r="AC1014" s="21"/>
      <c r="AD1014" s="21"/>
      <c r="AE1014" s="21"/>
    </row>
    <row r="1015">
      <c r="A1015" s="21"/>
      <c r="B1015" s="21"/>
      <c r="C1015" s="21"/>
      <c r="D1015" s="21"/>
      <c r="E1015" s="21"/>
      <c r="F1015" s="21"/>
      <c r="G1015" s="21"/>
      <c r="H1015" s="21"/>
      <c r="I1015" s="21"/>
      <c r="J1015" s="21"/>
      <c r="K1015" s="21"/>
      <c r="L1015" s="21"/>
      <c r="M1015" s="21"/>
      <c r="N1015" s="21"/>
      <c r="O1015" s="21"/>
      <c r="P1015" s="21"/>
      <c r="Q1015" s="21"/>
      <c r="R1015" s="21"/>
      <c r="S1015" s="21"/>
      <c r="T1015" s="21"/>
      <c r="U1015" s="21"/>
      <c r="V1015" s="21"/>
      <c r="W1015" s="21"/>
      <c r="X1015" s="21"/>
      <c r="Y1015" s="21"/>
      <c r="Z1015" s="21"/>
      <c r="AA1015" s="21"/>
      <c r="AB1015" s="21"/>
      <c r="AC1015" s="21"/>
      <c r="AD1015" s="21"/>
      <c r="AE1015" s="21"/>
    </row>
    <row r="1016">
      <c r="A1016" s="21"/>
      <c r="B1016" s="21"/>
      <c r="C1016" s="21"/>
      <c r="D1016" s="21"/>
      <c r="E1016" s="21"/>
      <c r="F1016" s="21"/>
      <c r="G1016" s="21"/>
      <c r="H1016" s="21"/>
      <c r="I1016" s="21"/>
      <c r="J1016" s="21"/>
      <c r="K1016" s="21"/>
      <c r="L1016" s="21"/>
      <c r="M1016" s="21"/>
      <c r="N1016" s="21"/>
      <c r="O1016" s="21"/>
      <c r="P1016" s="21"/>
      <c r="Q1016" s="21"/>
      <c r="R1016" s="21"/>
      <c r="S1016" s="21"/>
      <c r="T1016" s="21"/>
      <c r="U1016" s="21"/>
      <c r="V1016" s="21"/>
      <c r="W1016" s="21"/>
      <c r="X1016" s="21"/>
      <c r="Y1016" s="21"/>
      <c r="Z1016" s="21"/>
      <c r="AA1016" s="21"/>
      <c r="AB1016" s="21"/>
      <c r="AC1016" s="21"/>
      <c r="AD1016" s="21"/>
      <c r="AE1016" s="21"/>
    </row>
    <row r="1017">
      <c r="A1017" s="21"/>
      <c r="B1017" s="21"/>
      <c r="C1017" s="21"/>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c r="AC1017" s="21"/>
      <c r="AD1017" s="21"/>
      <c r="AE1017" s="21"/>
    </row>
    <row r="1018">
      <c r="A1018" s="21"/>
      <c r="B1018" s="21"/>
      <c r="C1018" s="21"/>
      <c r="D1018" s="21"/>
      <c r="E1018" s="21"/>
      <c r="F1018" s="21"/>
      <c r="G1018" s="21"/>
      <c r="H1018" s="21"/>
      <c r="I1018" s="21"/>
      <c r="J1018" s="21"/>
      <c r="K1018" s="21"/>
      <c r="L1018" s="21"/>
      <c r="M1018" s="21"/>
      <c r="N1018" s="21"/>
      <c r="O1018" s="21"/>
      <c r="P1018" s="21"/>
      <c r="Q1018" s="21"/>
      <c r="R1018" s="21"/>
      <c r="S1018" s="21"/>
      <c r="T1018" s="21"/>
      <c r="U1018" s="21"/>
      <c r="V1018" s="21"/>
      <c r="W1018" s="21"/>
      <c r="X1018" s="21"/>
      <c r="Y1018" s="21"/>
      <c r="Z1018" s="21"/>
      <c r="AA1018" s="21"/>
      <c r="AB1018" s="21"/>
      <c r="AC1018" s="21"/>
      <c r="AD1018" s="21"/>
      <c r="AE1018" s="21"/>
    </row>
  </sheetData>
  <hyperlinks>
    <hyperlink r:id="rId2" ref="C4"/>
    <hyperlink r:id="rId3" ref="C5"/>
  </hyperlinks>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2.25"/>
  </cols>
  <sheetData>
    <row r="1">
      <c r="A1" s="14"/>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row>
    <row r="2">
      <c r="A2" s="15" t="s">
        <v>135</v>
      </c>
      <c r="B2" s="15" t="s">
        <v>136</v>
      </c>
      <c r="C2" s="14" t="s">
        <v>137</v>
      </c>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row>
    <row r="3">
      <c r="A3" s="14"/>
      <c r="B3" s="15" t="s">
        <v>138</v>
      </c>
      <c r="C3" s="14" t="s">
        <v>234</v>
      </c>
      <c r="D3" s="14"/>
      <c r="E3" s="14"/>
      <c r="F3" s="14"/>
      <c r="G3" s="14"/>
      <c r="H3" s="14"/>
      <c r="I3" s="14"/>
      <c r="J3" s="14"/>
      <c r="K3" s="14"/>
      <c r="L3" s="14"/>
      <c r="M3" s="14"/>
      <c r="N3" s="14"/>
      <c r="O3" s="14"/>
      <c r="P3" s="14"/>
      <c r="Q3" s="14"/>
      <c r="R3" s="14"/>
      <c r="S3" s="14"/>
      <c r="T3" s="14"/>
      <c r="U3" s="14"/>
      <c r="V3" s="14"/>
      <c r="W3" s="14"/>
      <c r="X3" s="14"/>
      <c r="Y3" s="14"/>
      <c r="Z3" s="14"/>
      <c r="AA3" s="14"/>
      <c r="AB3" s="14"/>
      <c r="AC3" s="14"/>
      <c r="AD3" s="14"/>
      <c r="AE3" s="14"/>
    </row>
    <row r="4">
      <c r="A4" s="14"/>
      <c r="B4" s="15" t="s">
        <v>140</v>
      </c>
      <c r="C4" s="17" t="s">
        <v>141</v>
      </c>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row>
    <row r="5">
      <c r="A5" s="14"/>
      <c r="B5" s="15" t="s">
        <v>142</v>
      </c>
      <c r="C5" s="17" t="s">
        <v>143</v>
      </c>
      <c r="D5" s="15"/>
      <c r="E5" s="14"/>
      <c r="F5" s="15"/>
      <c r="G5" s="15"/>
      <c r="H5" s="15"/>
      <c r="I5" s="14"/>
      <c r="J5" s="14"/>
      <c r="K5" s="14"/>
      <c r="L5" s="14"/>
      <c r="M5" s="15"/>
      <c r="N5" s="15"/>
      <c r="O5" s="15"/>
      <c r="P5" s="15"/>
      <c r="Q5" s="15"/>
      <c r="R5" s="15"/>
      <c r="S5" s="15"/>
      <c r="T5" s="14"/>
      <c r="U5" s="14"/>
      <c r="V5" s="14"/>
      <c r="W5" s="14"/>
      <c r="X5" s="14"/>
      <c r="Y5" s="14"/>
      <c r="Z5" s="14"/>
      <c r="AA5" s="14"/>
      <c r="AB5" s="14"/>
      <c r="AC5" s="14"/>
      <c r="AD5" s="14"/>
      <c r="AE5" s="14"/>
    </row>
    <row r="6">
      <c r="A6" s="18" t="s">
        <v>144</v>
      </c>
      <c r="B6" s="18" t="s">
        <v>145</v>
      </c>
      <c r="C6" s="18" t="s">
        <v>146</v>
      </c>
      <c r="D6" s="18" t="s">
        <v>147</v>
      </c>
      <c r="E6" s="19" t="s">
        <v>148</v>
      </c>
      <c r="F6" s="18" t="s">
        <v>149</v>
      </c>
      <c r="G6" s="18" t="s">
        <v>150</v>
      </c>
      <c r="H6" s="18" t="s">
        <v>151</v>
      </c>
      <c r="I6" s="18" t="s">
        <v>148</v>
      </c>
      <c r="J6" s="18" t="s">
        <v>152</v>
      </c>
      <c r="K6" s="18" t="s">
        <v>153</v>
      </c>
      <c r="L6" s="18" t="s">
        <v>154</v>
      </c>
      <c r="M6" s="18" t="s">
        <v>155</v>
      </c>
      <c r="N6" s="18" t="s">
        <v>153</v>
      </c>
      <c r="O6" s="18" t="s">
        <v>156</v>
      </c>
      <c r="P6" s="18" t="s">
        <v>154</v>
      </c>
      <c r="Q6" s="18" t="s">
        <v>157</v>
      </c>
      <c r="R6" s="18" t="s">
        <v>158</v>
      </c>
      <c r="S6" s="18" t="s">
        <v>159</v>
      </c>
      <c r="T6" s="20"/>
      <c r="U6" s="20"/>
      <c r="V6" s="20"/>
      <c r="W6" s="20"/>
      <c r="X6" s="20"/>
      <c r="Y6" s="20"/>
      <c r="Z6" s="20"/>
      <c r="AA6" s="20"/>
      <c r="AB6" s="20"/>
      <c r="AC6" s="20"/>
      <c r="AD6" s="20"/>
      <c r="AE6" s="20"/>
    </row>
    <row r="7">
      <c r="A7" s="21"/>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row>
    <row r="8">
      <c r="A8" s="22" t="s">
        <v>160</v>
      </c>
      <c r="B8" s="23" t="s">
        <v>26</v>
      </c>
      <c r="C8" s="23" t="s">
        <v>161</v>
      </c>
      <c r="D8" s="23" t="s">
        <v>162</v>
      </c>
      <c r="E8" s="23" t="s">
        <v>22</v>
      </c>
      <c r="F8" s="23" t="s">
        <v>23</v>
      </c>
      <c r="G8" s="23" t="s">
        <v>24</v>
      </c>
      <c r="H8" s="22" t="s">
        <v>163</v>
      </c>
      <c r="I8" s="24"/>
      <c r="J8" s="24"/>
      <c r="K8" s="24"/>
      <c r="L8" s="24"/>
      <c r="M8" s="24"/>
      <c r="N8" s="24"/>
      <c r="O8" s="24"/>
      <c r="P8" s="24"/>
      <c r="Q8" s="24"/>
      <c r="R8" s="24"/>
      <c r="S8" s="24"/>
      <c r="T8" s="24"/>
      <c r="U8" s="24"/>
      <c r="V8" s="24"/>
      <c r="W8" s="24"/>
      <c r="X8" s="24"/>
      <c r="Y8" s="24"/>
      <c r="Z8" s="24"/>
      <c r="AA8" s="24"/>
      <c r="AB8" s="24"/>
      <c r="AC8" s="24"/>
      <c r="AD8" s="24"/>
      <c r="AE8" s="24"/>
    </row>
    <row r="9">
      <c r="A9" s="25" t="s">
        <v>236</v>
      </c>
      <c r="B9" s="26">
        <v>4.0</v>
      </c>
      <c r="C9" s="25" t="s">
        <v>165</v>
      </c>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row>
    <row r="10">
      <c r="A10" s="21" t="s">
        <v>229</v>
      </c>
      <c r="B10" s="26">
        <v>4.2</v>
      </c>
      <c r="C10" s="27" t="s">
        <v>167</v>
      </c>
      <c r="D10" s="21"/>
      <c r="E10" s="21"/>
      <c r="F10" s="21"/>
      <c r="G10" s="21"/>
      <c r="H10" s="27" t="s">
        <v>168</v>
      </c>
      <c r="I10" s="21"/>
      <c r="J10" s="21"/>
      <c r="K10" s="21"/>
      <c r="L10" s="21"/>
      <c r="M10" s="21"/>
      <c r="N10" s="21"/>
      <c r="O10" s="21"/>
      <c r="P10" s="21"/>
      <c r="Q10" s="21"/>
      <c r="R10" s="21"/>
      <c r="S10" s="21"/>
      <c r="T10" s="21"/>
      <c r="U10" s="21"/>
      <c r="V10" s="21"/>
      <c r="W10" s="21"/>
      <c r="X10" s="21"/>
      <c r="Y10" s="21"/>
      <c r="Z10" s="21"/>
      <c r="AA10" s="21"/>
      <c r="AB10" s="21"/>
      <c r="AC10" s="21"/>
      <c r="AD10" s="21"/>
      <c r="AE10" s="21"/>
    </row>
    <row r="11">
      <c r="A11" s="21" t="s">
        <v>237</v>
      </c>
      <c r="B11" s="26">
        <v>4.3</v>
      </c>
      <c r="C11" s="27" t="s">
        <v>170</v>
      </c>
      <c r="D11" s="21"/>
      <c r="E11" s="21"/>
      <c r="F11" s="21"/>
      <c r="G11" s="21"/>
      <c r="H11" s="27" t="s">
        <v>168</v>
      </c>
      <c r="I11" s="21"/>
      <c r="J11" s="21"/>
      <c r="K11" s="21"/>
      <c r="L11" s="21"/>
      <c r="M11" s="21"/>
      <c r="N11" s="21"/>
      <c r="O11" s="21"/>
      <c r="P11" s="21"/>
      <c r="Q11" s="21"/>
      <c r="R11" s="21"/>
      <c r="S11" s="21"/>
      <c r="T11" s="21"/>
      <c r="U11" s="21"/>
      <c r="V11" s="21"/>
      <c r="W11" s="21"/>
      <c r="X11" s="21"/>
      <c r="Y11" s="21"/>
      <c r="Z11" s="21"/>
      <c r="AA11" s="21"/>
      <c r="AB11" s="21"/>
      <c r="AC11" s="21"/>
      <c r="AD11" s="21"/>
      <c r="AE11" s="21"/>
    </row>
    <row r="12">
      <c r="A12" s="21" t="s">
        <v>238</v>
      </c>
      <c r="B12" s="26">
        <v>5.0</v>
      </c>
      <c r="C12" s="21" t="s">
        <v>172</v>
      </c>
      <c r="D12" s="21"/>
      <c r="E12" s="21"/>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row>
    <row r="13">
      <c r="A13" s="21" t="s">
        <v>239</v>
      </c>
      <c r="B13" s="26">
        <v>6.0</v>
      </c>
      <c r="C13" s="21" t="s">
        <v>174</v>
      </c>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row>
    <row r="14">
      <c r="A14" s="21" t="s">
        <v>240</v>
      </c>
      <c r="B14" s="26">
        <v>7.0</v>
      </c>
      <c r="C14" s="21" t="s">
        <v>176</v>
      </c>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row>
    <row r="15">
      <c r="A15" s="21" t="s">
        <v>241</v>
      </c>
      <c r="B15" s="26">
        <v>8.0</v>
      </c>
      <c r="C15" s="21" t="s">
        <v>178</v>
      </c>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row>
    <row r="16">
      <c r="A16" s="21" t="s">
        <v>242</v>
      </c>
      <c r="B16" s="26">
        <v>9.0</v>
      </c>
      <c r="C16" s="21" t="s">
        <v>180</v>
      </c>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row>
    <row r="17">
      <c r="A17" s="21" t="s">
        <v>243</v>
      </c>
      <c r="B17" s="26">
        <v>10.0</v>
      </c>
      <c r="C17" s="21" t="s">
        <v>182</v>
      </c>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row>
    <row r="18">
      <c r="A18" s="29" t="s">
        <v>189</v>
      </c>
      <c r="B18" s="5"/>
      <c r="C18" s="5"/>
      <c r="D18" s="5"/>
      <c r="E18" s="5"/>
      <c r="F18" s="23" t="s">
        <v>23</v>
      </c>
      <c r="G18" s="23" t="s">
        <v>24</v>
      </c>
      <c r="H18" s="22" t="s">
        <v>163</v>
      </c>
      <c r="I18" s="5" t="s">
        <v>190</v>
      </c>
      <c r="J18" s="5" t="s">
        <v>191</v>
      </c>
      <c r="K18" s="5" t="s">
        <v>192</v>
      </c>
      <c r="L18" s="5" t="s">
        <v>193</v>
      </c>
      <c r="M18" s="5" t="s">
        <v>194</v>
      </c>
      <c r="N18" s="5" t="s">
        <v>195</v>
      </c>
      <c r="O18" s="5" t="s">
        <v>196</v>
      </c>
      <c r="P18" s="29" t="s">
        <v>197</v>
      </c>
      <c r="Q18" s="5"/>
      <c r="R18" s="5"/>
      <c r="S18" s="5"/>
      <c r="T18" s="5"/>
      <c r="U18" s="5"/>
      <c r="V18" s="5"/>
      <c r="W18" s="5"/>
      <c r="X18" s="5"/>
      <c r="Y18" s="5"/>
      <c r="Z18" s="5"/>
      <c r="AA18" s="5"/>
      <c r="AB18" s="5"/>
      <c r="AC18" s="5"/>
      <c r="AD18" s="5"/>
      <c r="AE18" s="5"/>
    </row>
    <row r="19">
      <c r="A19" s="21" t="s">
        <v>198</v>
      </c>
      <c r="B19" s="26">
        <v>4.1</v>
      </c>
      <c r="C19" s="27" t="s">
        <v>199</v>
      </c>
      <c r="D19" s="21"/>
      <c r="E19" s="30" t="s">
        <v>200</v>
      </c>
      <c r="F19" s="21"/>
      <c r="G19" s="21"/>
      <c r="H19" s="27" t="s">
        <v>168</v>
      </c>
      <c r="I19" s="21"/>
      <c r="J19" s="27" t="s">
        <v>201</v>
      </c>
      <c r="K19" s="21"/>
      <c r="L19" s="27" t="s">
        <v>202</v>
      </c>
      <c r="M19" s="21"/>
      <c r="N19" s="21"/>
      <c r="O19" s="21"/>
      <c r="P19" s="21"/>
      <c r="Q19" s="21"/>
      <c r="R19" s="21"/>
      <c r="S19" s="21"/>
      <c r="T19" s="21"/>
      <c r="U19" s="21"/>
      <c r="V19" s="21"/>
      <c r="W19" s="21"/>
      <c r="X19" s="21"/>
      <c r="Y19" s="21"/>
      <c r="Z19" s="21"/>
      <c r="AA19" s="21"/>
      <c r="AB19" s="21"/>
      <c r="AC19" s="21"/>
      <c r="AD19" s="21"/>
      <c r="AE19" s="21"/>
    </row>
    <row r="20">
      <c r="A20" s="21" t="s">
        <v>203</v>
      </c>
      <c r="B20" s="26">
        <v>4.4</v>
      </c>
      <c r="C20" s="31" t="s">
        <v>204</v>
      </c>
      <c r="D20" s="21"/>
      <c r="E20" s="32" t="s">
        <v>205</v>
      </c>
      <c r="F20" s="21"/>
      <c r="G20" s="21"/>
      <c r="H20" s="27" t="s">
        <v>168</v>
      </c>
      <c r="I20" s="21"/>
      <c r="J20" s="21"/>
      <c r="K20" s="21"/>
      <c r="L20" s="27" t="s">
        <v>202</v>
      </c>
      <c r="M20" s="21"/>
      <c r="N20" s="21"/>
      <c r="O20" s="21"/>
      <c r="P20" s="21"/>
      <c r="Q20" s="21"/>
      <c r="R20" s="21"/>
      <c r="S20" s="21"/>
      <c r="T20" s="21"/>
      <c r="U20" s="21"/>
      <c r="V20" s="21"/>
      <c r="W20" s="21"/>
      <c r="X20" s="21"/>
      <c r="Y20" s="21"/>
      <c r="Z20" s="21"/>
      <c r="AA20" s="21"/>
      <c r="AB20" s="21"/>
      <c r="AC20" s="21"/>
      <c r="AD20" s="21"/>
      <c r="AE20" s="21"/>
    </row>
    <row r="21">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row>
    <row r="22">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row>
    <row r="23">
      <c r="A23" s="29" t="s">
        <v>206</v>
      </c>
      <c r="B23" s="5"/>
      <c r="C23" s="5"/>
      <c r="D23" s="5"/>
      <c r="E23" s="5"/>
      <c r="F23" s="23" t="s">
        <v>23</v>
      </c>
      <c r="G23" s="23" t="s">
        <v>24</v>
      </c>
      <c r="H23" s="22" t="s">
        <v>163</v>
      </c>
      <c r="I23" s="5" t="s">
        <v>190</v>
      </c>
      <c r="J23" s="5" t="s">
        <v>191</v>
      </c>
      <c r="K23" s="5" t="s">
        <v>192</v>
      </c>
      <c r="L23" s="5" t="s">
        <v>193</v>
      </c>
      <c r="M23" s="5" t="s">
        <v>194</v>
      </c>
      <c r="N23" s="5" t="s">
        <v>195</v>
      </c>
      <c r="O23" s="5" t="s">
        <v>196</v>
      </c>
      <c r="P23" s="29" t="s">
        <v>197</v>
      </c>
      <c r="Q23" s="21"/>
      <c r="R23" s="21"/>
      <c r="S23" s="21"/>
      <c r="T23" s="21"/>
      <c r="U23" s="21"/>
      <c r="V23" s="21"/>
      <c r="W23" s="21"/>
      <c r="X23" s="21"/>
      <c r="Y23" s="21"/>
      <c r="Z23" s="21"/>
      <c r="AA23" s="21"/>
      <c r="AB23" s="21"/>
      <c r="AC23" s="21"/>
      <c r="AD23" s="21"/>
      <c r="AE23" s="21"/>
    </row>
    <row r="24">
      <c r="A24" s="21" t="s">
        <v>207</v>
      </c>
      <c r="B24" s="26">
        <v>4.2</v>
      </c>
      <c r="C24" s="27" t="s">
        <v>208</v>
      </c>
      <c r="D24" s="21"/>
      <c r="E24" s="32" t="s">
        <v>209</v>
      </c>
      <c r="F24" s="21"/>
      <c r="G24" s="21"/>
      <c r="H24" s="27" t="s">
        <v>210</v>
      </c>
      <c r="I24" s="21"/>
      <c r="J24" s="27" t="s">
        <v>211</v>
      </c>
      <c r="K24" s="21"/>
      <c r="L24" s="27" t="s">
        <v>202</v>
      </c>
      <c r="M24" s="21"/>
      <c r="N24" s="21"/>
      <c r="O24" s="21"/>
      <c r="P24" s="21"/>
      <c r="Q24" s="21"/>
      <c r="R24" s="21"/>
      <c r="S24" s="21"/>
      <c r="T24" s="21"/>
      <c r="U24" s="21"/>
      <c r="V24" s="21"/>
      <c r="W24" s="21"/>
      <c r="X24" s="21"/>
      <c r="Y24" s="21"/>
      <c r="Z24" s="21"/>
      <c r="AA24" s="21"/>
      <c r="AB24" s="21"/>
      <c r="AC24" s="21"/>
      <c r="AD24" s="21"/>
      <c r="AE24" s="21"/>
    </row>
    <row r="25">
      <c r="A25" s="21" t="s">
        <v>212</v>
      </c>
      <c r="B25" s="26">
        <v>4.2</v>
      </c>
      <c r="C25" s="27" t="s">
        <v>213</v>
      </c>
      <c r="D25" s="21"/>
      <c r="E25" s="32" t="s">
        <v>214</v>
      </c>
      <c r="F25" s="21"/>
      <c r="G25" s="21"/>
      <c r="H25" s="27" t="s">
        <v>210</v>
      </c>
      <c r="I25" s="21"/>
      <c r="J25" s="27" t="s">
        <v>215</v>
      </c>
      <c r="K25" s="21"/>
      <c r="L25" s="27" t="s">
        <v>202</v>
      </c>
      <c r="M25" s="21"/>
      <c r="N25" s="21"/>
      <c r="O25" s="21"/>
      <c r="P25" s="21"/>
      <c r="Q25" s="21"/>
      <c r="R25" s="21"/>
      <c r="S25" s="21"/>
      <c r="T25" s="21"/>
      <c r="U25" s="21"/>
      <c r="V25" s="21"/>
      <c r="W25" s="21"/>
      <c r="X25" s="21"/>
      <c r="Y25" s="21"/>
      <c r="Z25" s="21"/>
      <c r="AA25" s="21"/>
      <c r="AB25" s="21"/>
      <c r="AC25" s="21"/>
      <c r="AD25" s="21"/>
      <c r="AE25" s="21"/>
    </row>
    <row r="26">
      <c r="A26" s="21" t="s">
        <v>216</v>
      </c>
      <c r="B26" s="26">
        <v>4.2</v>
      </c>
      <c r="C26" s="27" t="s">
        <v>217</v>
      </c>
      <c r="D26" s="21"/>
      <c r="E26" s="32" t="s">
        <v>218</v>
      </c>
      <c r="F26" s="21"/>
      <c r="G26" s="21"/>
      <c r="H26" s="27" t="s">
        <v>210</v>
      </c>
      <c r="I26" s="21"/>
      <c r="J26" s="27" t="s">
        <v>215</v>
      </c>
      <c r="K26" s="21"/>
      <c r="L26" s="27" t="s">
        <v>202</v>
      </c>
      <c r="M26" s="21"/>
      <c r="N26" s="21"/>
      <c r="O26" s="21"/>
      <c r="P26" s="21"/>
      <c r="Q26" s="21"/>
      <c r="R26" s="21"/>
      <c r="S26" s="21"/>
      <c r="T26" s="21"/>
      <c r="U26" s="21"/>
      <c r="V26" s="21"/>
      <c r="W26" s="21"/>
      <c r="X26" s="21"/>
      <c r="Y26" s="21"/>
      <c r="Z26" s="21"/>
      <c r="AA26" s="21"/>
      <c r="AB26" s="21"/>
      <c r="AC26" s="21"/>
      <c r="AD26" s="21"/>
      <c r="AE26" s="21"/>
    </row>
    <row r="27">
      <c r="A27" s="21" t="s">
        <v>219</v>
      </c>
      <c r="B27" s="26">
        <v>4.3</v>
      </c>
      <c r="C27" s="27" t="s">
        <v>220</v>
      </c>
      <c r="D27" s="21"/>
      <c r="E27" s="32" t="s">
        <v>221</v>
      </c>
      <c r="F27" s="21"/>
      <c r="G27" s="21"/>
      <c r="H27" s="27" t="s">
        <v>222</v>
      </c>
      <c r="I27" s="21"/>
      <c r="J27" s="21"/>
      <c r="K27" s="21"/>
      <c r="L27" s="27" t="s">
        <v>202</v>
      </c>
      <c r="M27" s="21"/>
      <c r="N27" s="21"/>
      <c r="O27" s="21"/>
      <c r="P27" s="21"/>
      <c r="Q27" s="21"/>
      <c r="R27" s="21"/>
      <c r="S27" s="21"/>
      <c r="T27" s="21"/>
      <c r="U27" s="21"/>
      <c r="V27" s="21"/>
      <c r="W27" s="21"/>
      <c r="X27" s="21"/>
      <c r="Y27" s="21"/>
      <c r="Z27" s="21"/>
      <c r="AA27" s="21"/>
      <c r="AB27" s="21"/>
      <c r="AC27" s="21"/>
      <c r="AD27" s="21"/>
      <c r="AE27" s="21"/>
    </row>
    <row r="28">
      <c r="A28" s="21" t="s">
        <v>223</v>
      </c>
      <c r="B28" s="26">
        <v>4.3</v>
      </c>
      <c r="C28" s="27" t="s">
        <v>224</v>
      </c>
      <c r="D28" s="21"/>
      <c r="E28" s="32" t="s">
        <v>225</v>
      </c>
      <c r="F28" s="21"/>
      <c r="G28" s="21"/>
      <c r="H28" s="27" t="s">
        <v>222</v>
      </c>
      <c r="I28" s="21"/>
      <c r="J28" s="21"/>
      <c r="K28" s="21" t="s">
        <v>198</v>
      </c>
      <c r="L28" s="27" t="s">
        <v>202</v>
      </c>
      <c r="M28" s="21"/>
      <c r="N28" s="21"/>
      <c r="O28" s="21"/>
      <c r="P28" s="21"/>
      <c r="Q28" s="21"/>
      <c r="R28" s="21"/>
      <c r="S28" s="21"/>
      <c r="T28" s="21"/>
      <c r="U28" s="21"/>
      <c r="V28" s="21"/>
      <c r="W28" s="21"/>
      <c r="X28" s="21"/>
      <c r="Y28" s="21"/>
      <c r="Z28" s="21"/>
      <c r="AA28" s="21"/>
      <c r="AB28" s="21"/>
      <c r="AC28" s="21"/>
      <c r="AD28" s="21"/>
      <c r="AE28" s="21"/>
    </row>
    <row r="29">
      <c r="A29" s="21" t="s">
        <v>226</v>
      </c>
      <c r="B29" s="26">
        <v>4.3</v>
      </c>
      <c r="C29" s="27" t="s">
        <v>227</v>
      </c>
      <c r="D29" s="21"/>
      <c r="E29" s="32" t="s">
        <v>228</v>
      </c>
      <c r="F29" s="21"/>
      <c r="G29" s="21"/>
      <c r="H29" s="27" t="s">
        <v>222</v>
      </c>
      <c r="I29" s="21"/>
      <c r="J29" s="21"/>
      <c r="K29" s="21" t="s">
        <v>229</v>
      </c>
      <c r="L29" s="27" t="s">
        <v>202</v>
      </c>
      <c r="M29" s="21"/>
      <c r="N29" s="21"/>
      <c r="O29" s="21"/>
      <c r="P29" s="21"/>
      <c r="Q29" s="21"/>
      <c r="R29" s="21"/>
      <c r="S29" s="21"/>
      <c r="T29" s="21"/>
      <c r="U29" s="21"/>
      <c r="V29" s="21"/>
      <c r="W29" s="21"/>
      <c r="X29" s="21"/>
      <c r="Y29" s="21"/>
      <c r="Z29" s="21"/>
      <c r="AA29" s="21"/>
      <c r="AB29" s="21"/>
      <c r="AC29" s="21"/>
      <c r="AD29" s="21"/>
      <c r="AE29" s="21"/>
    </row>
    <row r="30">
      <c r="A30" s="21" t="s">
        <v>230</v>
      </c>
      <c r="B30" s="26">
        <v>4.3</v>
      </c>
      <c r="C30" s="27" t="s">
        <v>231</v>
      </c>
      <c r="D30" s="21"/>
      <c r="E30" s="32" t="s">
        <v>232</v>
      </c>
      <c r="F30" s="21"/>
      <c r="G30" s="21"/>
      <c r="H30" s="27" t="s">
        <v>222</v>
      </c>
      <c r="I30" s="21"/>
      <c r="J30" s="21"/>
      <c r="K30" s="21"/>
      <c r="L30" s="27" t="s">
        <v>233</v>
      </c>
      <c r="M30" s="21"/>
      <c r="N30" s="21"/>
      <c r="O30" s="21"/>
      <c r="P30" s="21"/>
      <c r="Q30" s="21"/>
      <c r="R30" s="21"/>
      <c r="S30" s="21"/>
      <c r="T30" s="21"/>
      <c r="U30" s="21"/>
      <c r="V30" s="21"/>
      <c r="W30" s="21"/>
      <c r="X30" s="21"/>
      <c r="Y30" s="21"/>
      <c r="Z30" s="21"/>
      <c r="AA30" s="21"/>
      <c r="AB30" s="21"/>
      <c r="AC30" s="21"/>
      <c r="AD30" s="21"/>
      <c r="AE30" s="21"/>
    </row>
    <row r="31">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row>
    <row r="32">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row>
    <row r="3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row>
    <row r="34">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row>
    <row r="35">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row>
    <row r="36">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row>
    <row r="37">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row>
    <row r="38">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row>
    <row r="39">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row>
    <row r="40">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row>
    <row r="41">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row>
    <row r="42">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row>
    <row r="4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row>
    <row r="44">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row>
    <row r="45">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row>
    <row r="46">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row>
    <row r="47">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row>
    <row r="48">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row>
    <row r="49">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row>
    <row r="50">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row>
    <row r="51">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row>
    <row r="52">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row>
    <row r="5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row>
    <row r="54">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row>
    <row r="5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row>
    <row r="56">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row>
    <row r="57">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row>
    <row r="58">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row>
    <row r="59">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row>
    <row r="60">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row>
    <row r="61">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row>
    <row r="62">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row>
    <row r="6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row>
    <row r="64">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row>
    <row r="65">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row>
    <row r="66">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row>
    <row r="68">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row>
    <row r="69">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row>
    <row r="70">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row>
    <row r="71">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row>
    <row r="72">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row>
    <row r="7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row>
    <row r="74">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row>
    <row r="75">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row>
    <row r="76">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row>
    <row r="77">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row>
    <row r="78">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row>
    <row r="80">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row>
    <row r="8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row>
    <row r="82">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row>
    <row r="8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row>
    <row r="84">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row>
    <row r="86">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row>
    <row r="87">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row>
    <row r="88">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row>
    <row r="89">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row>
    <row r="90">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row>
    <row r="9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row>
    <row r="92">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row>
    <row r="9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row>
    <row r="94">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row>
    <row r="95">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row>
    <row r="96">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row>
    <row r="97">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row>
    <row r="98">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row>
    <row r="99">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row>
    <row r="126">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row>
    <row r="127">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row>
    <row r="128">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row>
    <row r="129">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row>
    <row r="130">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row>
    <row r="13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row>
    <row r="132">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row>
    <row r="133">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row>
    <row r="134">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row>
    <row r="135">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row>
    <row r="136">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row>
    <row r="137">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row>
    <row r="138">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row>
    <row r="139">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row>
    <row r="140">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row>
    <row r="14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row>
    <row r="142">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row>
    <row r="143">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row>
    <row r="144">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row>
    <row r="145">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row>
    <row r="146">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row>
    <row r="147">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row>
    <row r="148">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row>
    <row r="149">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row>
    <row r="150">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row>
    <row r="15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row>
    <row r="152">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row>
    <row r="153">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row>
    <row r="154">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row>
    <row r="155">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row>
    <row r="156">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row>
    <row r="157">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row>
    <row r="158">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row>
    <row r="159">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row>
    <row r="160">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row>
    <row r="16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row>
    <row r="162">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row>
    <row r="163">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row>
    <row r="164">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row>
    <row r="165">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row>
    <row r="166">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row>
    <row r="167">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row>
    <row r="168">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row>
    <row r="169">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row>
    <row r="170">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row>
    <row r="17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row>
    <row r="172">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row>
    <row r="173">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row>
    <row r="174">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row>
    <row r="175">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row>
    <row r="176">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row>
    <row r="177">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row>
    <row r="178">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row>
    <row r="179">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row>
    <row r="180">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row>
    <row r="18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row>
    <row r="182">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row>
    <row r="183">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row>
    <row r="184">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row>
    <row r="185">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row>
    <row r="186">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row>
    <row r="187">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row>
    <row r="188">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row>
    <row r="189">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row>
    <row r="190">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row>
    <row r="19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row>
    <row r="192">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row>
    <row r="193">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row>
    <row r="194">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row>
    <row r="195">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row>
    <row r="196">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row>
    <row r="197">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row>
    <row r="198">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row>
    <row r="199">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row>
    <row r="200">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row>
    <row r="20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row>
    <row r="202">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row>
    <row r="203">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row>
    <row r="204">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row>
    <row r="205">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row>
    <row r="206">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row>
    <row r="207">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row>
    <row r="208">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row>
    <row r="209">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row>
    <row r="210">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row>
    <row r="21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row>
    <row r="212">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row>
    <row r="213">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row>
    <row r="214">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row>
    <row r="215">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row>
    <row r="216">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row>
    <row r="217">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row>
    <row r="218">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row>
    <row r="219">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row>
    <row r="220">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row>
    <row r="22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row>
    <row r="222">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row>
    <row r="223">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row>
    <row r="224">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row>
    <row r="225">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row>
    <row r="226">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row>
    <row r="227">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row>
    <row r="228">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row>
    <row r="229">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row>
    <row r="230">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row>
    <row r="23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row>
    <row r="232">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row>
    <row r="233">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row>
    <row r="234">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row>
    <row r="235">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row>
    <row r="236">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row>
    <row r="237">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row>
    <row r="238">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row>
    <row r="239">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row>
    <row r="240">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row>
    <row r="24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row>
    <row r="242">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row>
    <row r="243">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row>
    <row r="244">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row>
    <row r="245">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row>
    <row r="246">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row>
    <row r="247">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row>
    <row r="248">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row>
    <row r="249">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row>
    <row r="250">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row>
    <row r="25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row>
    <row r="252">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row>
    <row r="253">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row>
    <row r="254">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row>
    <row r="255">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row>
    <row r="256">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row>
    <row r="257">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row>
    <row r="258">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row>
    <row r="259">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row>
    <row r="260">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row>
    <row r="26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row>
    <row r="262">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row>
    <row r="263">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row>
    <row r="264">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row>
    <row r="265">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row>
    <row r="266">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row>
    <row r="267">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row>
    <row r="268">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row>
    <row r="269">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row>
    <row r="270">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row>
    <row r="27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row>
    <row r="272">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row>
    <row r="273">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row>
    <row r="274">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row>
    <row r="275">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row>
    <row r="276">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row>
    <row r="277">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row>
    <row r="278">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row>
    <row r="279">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row>
    <row r="280">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row>
    <row r="635">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row>
    <row r="636">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row>
    <row r="637">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row>
    <row r="638">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row>
    <row r="639">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row>
    <row r="640">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row>
    <row r="64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row>
    <row r="642">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row>
    <row r="643">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row>
    <row r="644">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row>
    <row r="645">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row>
    <row r="646">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row>
    <row r="647">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row>
    <row r="648">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row>
    <row r="649">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row>
    <row r="650">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row>
    <row r="65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row>
    <row r="652">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row>
    <row r="653">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row>
    <row r="654">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row>
    <row r="655">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row>
    <row r="656">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row>
    <row r="657">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row>
    <row r="658">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row>
    <row r="659">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row>
    <row r="660">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row>
    <row r="66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row>
    <row r="662">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row>
    <row r="663">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row>
    <row r="664">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row>
    <row r="665">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row>
    <row r="666">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row>
    <row r="667">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row>
    <row r="668">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row>
    <row r="669">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row>
    <row r="670">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row>
    <row r="67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row>
    <row r="672">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row>
    <row r="673">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row>
    <row r="674">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row>
    <row r="675">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row>
    <row r="676">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row>
    <row r="677">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row>
    <row r="678">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row>
    <row r="679">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row>
    <row r="680">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row>
    <row r="68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row>
    <row r="682">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row>
    <row r="683">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row>
    <row r="684">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row>
    <row r="685">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row>
    <row r="686">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row>
    <row r="687">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row>
    <row r="688">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row>
    <row r="689">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row>
    <row r="690">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row>
    <row r="69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row>
    <row r="692">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row>
    <row r="693">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row>
    <row r="694">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row>
    <row r="695">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row>
    <row r="696">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row>
    <row r="697">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row>
    <row r="698">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row>
    <row r="699">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row>
    <row r="700">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row>
    <row r="70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row>
    <row r="702">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row>
    <row r="703">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row>
    <row r="704">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row>
    <row r="705">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row>
    <row r="706">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row>
    <row r="707">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row>
    <row r="708">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row>
    <row r="709">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row>
    <row r="710">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row>
    <row r="71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row>
    <row r="712">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row>
    <row r="713">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row>
    <row r="714">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row>
    <row r="715">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row>
    <row r="716">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row>
    <row r="717">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row>
    <row r="718">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row>
    <row r="719">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row>
    <row r="720">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row>
    <row r="72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row>
    <row r="722">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row>
    <row r="723">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row>
    <row r="724">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row>
    <row r="725">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row>
    <row r="726">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row>
    <row r="727">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row>
    <row r="728">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row>
    <row r="729">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row>
    <row r="730">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row>
    <row r="73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row>
    <row r="732">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row>
    <row r="733">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row>
    <row r="734">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row>
    <row r="735">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row>
    <row r="736">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row>
    <row r="737">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row>
    <row r="738">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row>
    <row r="739">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row>
    <row r="740">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row>
    <row r="74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row>
    <row r="742">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row>
    <row r="743">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row>
    <row r="744">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row>
    <row r="745">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row>
    <row r="746">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row>
    <row r="747">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row>
    <row r="748">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row>
    <row r="749">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row>
    <row r="750">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row>
    <row r="75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row>
    <row r="752">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row>
    <row r="753">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row>
    <row r="754">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row>
    <row r="755">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row>
    <row r="756">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row>
    <row r="757">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row>
    <row r="758">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row>
    <row r="759">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row>
    <row r="760">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row>
    <row r="76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row>
    <row r="762">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row>
    <row r="763">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row>
    <row r="764">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row>
    <row r="765">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row>
    <row r="766">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row>
    <row r="767">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row>
    <row r="768">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row>
    <row r="769">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row>
    <row r="770">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row>
    <row r="77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row>
    <row r="772">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row>
    <row r="773">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row>
    <row r="774">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row>
    <row r="775">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row>
    <row r="776">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row>
    <row r="777">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row>
    <row r="778">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row>
    <row r="779">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row>
    <row r="780">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row>
    <row r="78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row>
    <row r="782">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row>
    <row r="783">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row>
    <row r="784">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row>
    <row r="785">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row>
    <row r="786">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row>
    <row r="787">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row>
    <row r="788">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row>
    <row r="789">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row>
    <row r="790">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row>
    <row r="79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row>
    <row r="792">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row>
    <row r="793">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row>
    <row r="794">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row>
    <row r="795">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row>
    <row r="796">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row>
    <row r="797">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row>
    <row r="798">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row>
    <row r="799">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row>
    <row r="800">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row>
    <row r="80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row>
    <row r="802">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row>
    <row r="803">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row>
    <row r="804">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row>
    <row r="805">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row>
    <row r="806">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row>
    <row r="807">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row>
    <row r="808">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row>
    <row r="809">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row>
    <row r="810">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row>
    <row r="81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row>
    <row r="812">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row>
    <row r="813">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row>
    <row r="814">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row>
    <row r="815">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row>
    <row r="816">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row>
    <row r="817">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row>
    <row r="818">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row>
    <row r="819">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row>
    <row r="820">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row>
    <row r="82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row>
    <row r="822">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row>
    <row r="823">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row>
    <row r="824">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row>
    <row r="825">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row>
    <row r="826">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row>
    <row r="827">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row>
    <row r="828">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row>
    <row r="829">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row>
    <row r="830">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row>
    <row r="83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row>
    <row r="832">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row>
    <row r="833">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row>
    <row r="834">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row>
    <row r="835">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row>
    <row r="836">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row>
    <row r="837">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row>
    <row r="838">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row>
    <row r="839">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row>
    <row r="840">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row>
    <row r="84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row>
    <row r="842">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row>
    <row r="843">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row>
    <row r="844">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row>
    <row r="845">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row>
    <row r="846">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row>
    <row r="847">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row>
    <row r="848">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row>
    <row r="849">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row>
    <row r="850">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row>
    <row r="85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row>
    <row r="852">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row>
    <row r="853">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row>
    <row r="854">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row>
    <row r="855">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row>
    <row r="856">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row>
    <row r="857">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row>
    <row r="858">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row>
    <row r="859">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row>
    <row r="860">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row>
    <row r="86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row>
    <row r="862">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row>
    <row r="863">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row>
    <row r="864">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row>
    <row r="865">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row>
    <row r="866">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row>
    <row r="867">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row>
    <row r="868">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row>
    <row r="869">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row>
    <row r="870">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row>
    <row r="87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row>
    <row r="872">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row>
    <row r="873">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row>
    <row r="874">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row>
    <row r="875">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row>
    <row r="876">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row>
    <row r="877">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row>
    <row r="878">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row>
    <row r="879">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row>
    <row r="880">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row>
    <row r="88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row>
    <row r="882">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row>
    <row r="883">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row>
    <row r="884">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row>
    <row r="885">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row>
    <row r="886">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row>
    <row r="887">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row>
    <row r="888">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row>
    <row r="889">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row>
    <row r="890">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row>
    <row r="89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row>
    <row r="892">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row>
    <row r="893">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row>
    <row r="894">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row>
    <row r="895">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row>
    <row r="896">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row>
    <row r="897">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row>
    <row r="898">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row>
    <row r="899">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row>
    <row r="900">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row>
    <row r="90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row>
    <row r="902">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row>
    <row r="903">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row>
    <row r="904">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row>
    <row r="905">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row>
    <row r="906">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row>
    <row r="907">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row>
    <row r="908">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row>
    <row r="909">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row>
    <row r="910">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row>
    <row r="91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row>
    <row r="912">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row>
    <row r="913">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row>
    <row r="914">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row>
    <row r="915">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row>
    <row r="916">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row>
    <row r="917">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row>
    <row r="918">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row>
    <row r="919">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row>
    <row r="920">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row>
    <row r="92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row>
    <row r="922">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row>
    <row r="923">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row>
    <row r="924">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row>
    <row r="925">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row>
    <row r="926">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row>
    <row r="927">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row>
    <row r="928">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row>
    <row r="929">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row>
    <row r="930">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row>
    <row r="93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row>
    <row r="932">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row>
    <row r="933">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row>
    <row r="934">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row>
    <row r="935">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row>
    <row r="936">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row>
    <row r="937">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row>
    <row r="938">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row>
    <row r="939">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row>
    <row r="940">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row>
    <row r="94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row>
    <row r="942">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row>
    <row r="943">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row>
    <row r="944">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row>
    <row r="945">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row>
    <row r="946">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row>
    <row r="947">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row>
    <row r="948">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row>
    <row r="949">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row>
    <row r="950">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row>
    <row r="95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row>
    <row r="952">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row>
    <row r="953">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row>
    <row r="954">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row>
    <row r="955">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row>
    <row r="956">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row>
    <row r="957">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row>
    <row r="958">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row>
    <row r="959">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row>
    <row r="960">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row>
    <row r="96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row>
    <row r="962">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row>
    <row r="963">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row>
    <row r="964">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row>
    <row r="965">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row>
    <row r="966">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row>
    <row r="967">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row>
    <row r="968">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row>
    <row r="969">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row>
    <row r="970">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row>
    <row r="97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row>
    <row r="972">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row>
    <row r="973">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row>
    <row r="974">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row>
    <row r="975">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row>
    <row r="976">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row>
    <row r="977">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row>
    <row r="978">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row>
    <row r="979">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row>
    <row r="980">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row>
    <row r="98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row>
    <row r="982">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row>
    <row r="983">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row>
    <row r="984">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row>
    <row r="985">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c r="AA985" s="21"/>
      <c r="AB985" s="21"/>
      <c r="AC985" s="21"/>
      <c r="AD985" s="21"/>
      <c r="AE985" s="21"/>
    </row>
    <row r="986">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c r="AA986" s="21"/>
      <c r="AB986" s="21"/>
      <c r="AC986" s="21"/>
      <c r="AD986" s="21"/>
      <c r="AE986" s="21"/>
    </row>
    <row r="987">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c r="AC987" s="21"/>
      <c r="AD987" s="21"/>
      <c r="AE987" s="21"/>
    </row>
    <row r="988">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c r="AA988" s="21"/>
      <c r="AB988" s="21"/>
      <c r="AC988" s="21"/>
      <c r="AD988" s="21"/>
      <c r="AE988" s="21"/>
    </row>
    <row r="989">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c r="AA989" s="21"/>
      <c r="AB989" s="21"/>
      <c r="AC989" s="21"/>
      <c r="AD989" s="21"/>
      <c r="AE989" s="21"/>
    </row>
    <row r="990">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c r="AA990" s="21"/>
      <c r="AB990" s="21"/>
      <c r="AC990" s="21"/>
      <c r="AD990" s="21"/>
      <c r="AE990" s="21"/>
    </row>
    <row r="99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c r="AA991" s="21"/>
      <c r="AB991" s="21"/>
      <c r="AC991" s="21"/>
      <c r="AD991" s="21"/>
      <c r="AE991" s="21"/>
    </row>
    <row r="992">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c r="AA992" s="21"/>
      <c r="AB992" s="21"/>
      <c r="AC992" s="21"/>
      <c r="AD992" s="21"/>
      <c r="AE992" s="21"/>
    </row>
    <row r="993">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c r="AA993" s="21"/>
      <c r="AB993" s="21"/>
      <c r="AC993" s="21"/>
      <c r="AD993" s="21"/>
      <c r="AE993" s="21"/>
    </row>
    <row r="994">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c r="AA994" s="21"/>
      <c r="AB994" s="21"/>
      <c r="AC994" s="21"/>
      <c r="AD994" s="21"/>
      <c r="AE994" s="21"/>
    </row>
    <row r="995">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c r="AA995" s="21"/>
      <c r="AB995" s="21"/>
      <c r="AC995" s="21"/>
      <c r="AD995" s="21"/>
      <c r="AE995" s="21"/>
    </row>
    <row r="996">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c r="AA996" s="21"/>
      <c r="AB996" s="21"/>
      <c r="AC996" s="21"/>
      <c r="AD996" s="21"/>
      <c r="AE996" s="21"/>
    </row>
    <row r="997">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c r="AA997" s="21"/>
      <c r="AB997" s="21"/>
      <c r="AC997" s="21"/>
      <c r="AD997" s="21"/>
      <c r="AE997" s="21"/>
    </row>
    <row r="998">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c r="AA998" s="21"/>
      <c r="AB998" s="21"/>
      <c r="AC998" s="21"/>
      <c r="AD998" s="21"/>
      <c r="AE998" s="21"/>
    </row>
    <row r="999">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c r="AA999" s="21"/>
      <c r="AB999" s="21"/>
      <c r="AC999" s="21"/>
      <c r="AD999" s="21"/>
      <c r="AE999" s="21"/>
    </row>
    <row r="1000">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c r="AA1000" s="21"/>
      <c r="AB1000" s="21"/>
      <c r="AC1000" s="21"/>
      <c r="AD1000" s="21"/>
      <c r="AE1000" s="21"/>
    </row>
    <row r="1001">
      <c r="A1001" s="21"/>
      <c r="B1001" s="21"/>
      <c r="C1001" s="21"/>
      <c r="D1001" s="21"/>
      <c r="E1001" s="21"/>
      <c r="F1001" s="21"/>
      <c r="G1001" s="21"/>
      <c r="H1001" s="21"/>
      <c r="I1001" s="21"/>
      <c r="J1001" s="21"/>
      <c r="K1001" s="21"/>
      <c r="L1001" s="21"/>
      <c r="M1001" s="21"/>
      <c r="N1001" s="21"/>
      <c r="O1001" s="21"/>
      <c r="P1001" s="21"/>
      <c r="Q1001" s="21"/>
      <c r="R1001" s="21"/>
      <c r="S1001" s="21"/>
      <c r="T1001" s="21"/>
      <c r="U1001" s="21"/>
      <c r="V1001" s="21"/>
      <c r="W1001" s="21"/>
      <c r="X1001" s="21"/>
      <c r="Y1001" s="21"/>
      <c r="Z1001" s="21"/>
      <c r="AA1001" s="21"/>
      <c r="AB1001" s="21"/>
      <c r="AC1001" s="21"/>
      <c r="AD1001" s="21"/>
      <c r="AE1001" s="21"/>
    </row>
    <row r="1002">
      <c r="A1002" s="21"/>
      <c r="B1002" s="21"/>
      <c r="C1002" s="21"/>
      <c r="D1002" s="21"/>
      <c r="E1002" s="21"/>
      <c r="F1002" s="21"/>
      <c r="G1002" s="21"/>
      <c r="H1002" s="21"/>
      <c r="I1002" s="21"/>
      <c r="J1002" s="21"/>
      <c r="K1002" s="21"/>
      <c r="L1002" s="21"/>
      <c r="M1002" s="21"/>
      <c r="N1002" s="21"/>
      <c r="O1002" s="21"/>
      <c r="P1002" s="21"/>
      <c r="Q1002" s="21"/>
      <c r="R1002" s="21"/>
      <c r="S1002" s="21"/>
      <c r="T1002" s="21"/>
      <c r="U1002" s="21"/>
      <c r="V1002" s="21"/>
      <c r="W1002" s="21"/>
      <c r="X1002" s="21"/>
      <c r="Y1002" s="21"/>
      <c r="Z1002" s="21"/>
      <c r="AA1002" s="21"/>
      <c r="AB1002" s="21"/>
      <c r="AC1002" s="21"/>
      <c r="AD1002" s="21"/>
      <c r="AE1002" s="21"/>
    </row>
    <row r="1003">
      <c r="A1003" s="21"/>
      <c r="B1003" s="21"/>
      <c r="C1003" s="21"/>
      <c r="D1003" s="21"/>
      <c r="E1003" s="21"/>
      <c r="F1003" s="21"/>
      <c r="G1003" s="21"/>
      <c r="H1003" s="21"/>
      <c r="I1003" s="21"/>
      <c r="J1003" s="21"/>
      <c r="K1003" s="21"/>
      <c r="L1003" s="21"/>
      <c r="M1003" s="21"/>
      <c r="N1003" s="21"/>
      <c r="O1003" s="21"/>
      <c r="P1003" s="21"/>
      <c r="Q1003" s="21"/>
      <c r="R1003" s="21"/>
      <c r="S1003" s="21"/>
      <c r="T1003" s="21"/>
      <c r="U1003" s="21"/>
      <c r="V1003" s="21"/>
      <c r="W1003" s="21"/>
      <c r="X1003" s="21"/>
      <c r="Y1003" s="21"/>
      <c r="Z1003" s="21"/>
      <c r="AA1003" s="21"/>
      <c r="AB1003" s="21"/>
      <c r="AC1003" s="21"/>
      <c r="AD1003" s="21"/>
      <c r="AE1003" s="21"/>
    </row>
    <row r="1004">
      <c r="A1004" s="21"/>
      <c r="B1004" s="21"/>
      <c r="C1004" s="21"/>
      <c r="D1004" s="21"/>
      <c r="E1004" s="21"/>
      <c r="F1004" s="21"/>
      <c r="G1004" s="21"/>
      <c r="H1004" s="21"/>
      <c r="I1004" s="21"/>
      <c r="J1004" s="21"/>
      <c r="K1004" s="21"/>
      <c r="L1004" s="21"/>
      <c r="M1004" s="21"/>
      <c r="N1004" s="21"/>
      <c r="O1004" s="21"/>
      <c r="P1004" s="21"/>
      <c r="Q1004" s="21"/>
      <c r="R1004" s="21"/>
      <c r="S1004" s="21"/>
      <c r="T1004" s="21"/>
      <c r="U1004" s="21"/>
      <c r="V1004" s="21"/>
      <c r="W1004" s="21"/>
      <c r="X1004" s="21"/>
      <c r="Y1004" s="21"/>
      <c r="Z1004" s="21"/>
      <c r="AA1004" s="21"/>
      <c r="AB1004" s="21"/>
      <c r="AC1004" s="21"/>
      <c r="AD1004" s="21"/>
      <c r="AE1004" s="21"/>
    </row>
    <row r="1005">
      <c r="A1005" s="21"/>
      <c r="B1005" s="21"/>
      <c r="C1005" s="21"/>
      <c r="D1005" s="21"/>
      <c r="E1005" s="21"/>
      <c r="F1005" s="21"/>
      <c r="G1005" s="21"/>
      <c r="H1005" s="21"/>
      <c r="I1005" s="21"/>
      <c r="J1005" s="21"/>
      <c r="K1005" s="21"/>
      <c r="L1005" s="21"/>
      <c r="M1005" s="21"/>
      <c r="N1005" s="21"/>
      <c r="O1005" s="21"/>
      <c r="P1005" s="21"/>
      <c r="Q1005" s="21"/>
      <c r="R1005" s="21"/>
      <c r="S1005" s="21"/>
      <c r="T1005" s="21"/>
      <c r="U1005" s="21"/>
      <c r="V1005" s="21"/>
      <c r="W1005" s="21"/>
      <c r="X1005" s="21"/>
      <c r="Y1005" s="21"/>
      <c r="Z1005" s="21"/>
      <c r="AA1005" s="21"/>
      <c r="AB1005" s="21"/>
      <c r="AC1005" s="21"/>
      <c r="AD1005" s="21"/>
      <c r="AE1005" s="21"/>
    </row>
    <row r="1006">
      <c r="A1006" s="21"/>
      <c r="B1006" s="21"/>
      <c r="C1006" s="21"/>
      <c r="D1006" s="21"/>
      <c r="E1006" s="21"/>
      <c r="F1006" s="21"/>
      <c r="G1006" s="21"/>
      <c r="H1006" s="21"/>
      <c r="I1006" s="21"/>
      <c r="J1006" s="21"/>
      <c r="K1006" s="21"/>
      <c r="L1006" s="21"/>
      <c r="M1006" s="21"/>
      <c r="N1006" s="21"/>
      <c r="O1006" s="21"/>
      <c r="P1006" s="21"/>
      <c r="Q1006" s="21"/>
      <c r="R1006" s="21"/>
      <c r="S1006" s="21"/>
      <c r="T1006" s="21"/>
      <c r="U1006" s="21"/>
      <c r="V1006" s="21"/>
      <c r="W1006" s="21"/>
      <c r="X1006" s="21"/>
      <c r="Y1006" s="21"/>
      <c r="Z1006" s="21"/>
      <c r="AA1006" s="21"/>
      <c r="AB1006" s="21"/>
      <c r="AC1006" s="21"/>
      <c r="AD1006" s="21"/>
      <c r="AE1006" s="21"/>
    </row>
    <row r="1007">
      <c r="A1007" s="21"/>
      <c r="B1007" s="21"/>
      <c r="C1007" s="21"/>
      <c r="D1007" s="21"/>
      <c r="E1007" s="21"/>
      <c r="F1007" s="21"/>
      <c r="G1007" s="21"/>
      <c r="H1007" s="21"/>
      <c r="I1007" s="21"/>
      <c r="J1007" s="21"/>
      <c r="K1007" s="21"/>
      <c r="L1007" s="21"/>
      <c r="M1007" s="21"/>
      <c r="N1007" s="21"/>
      <c r="O1007" s="21"/>
      <c r="P1007" s="21"/>
      <c r="Q1007" s="21"/>
      <c r="R1007" s="21"/>
      <c r="S1007" s="21"/>
      <c r="T1007" s="21"/>
      <c r="U1007" s="21"/>
      <c r="V1007" s="21"/>
      <c r="W1007" s="21"/>
      <c r="X1007" s="21"/>
      <c r="Y1007" s="21"/>
      <c r="Z1007" s="21"/>
      <c r="AA1007" s="21"/>
      <c r="AB1007" s="21"/>
      <c r="AC1007" s="21"/>
      <c r="AD1007" s="21"/>
      <c r="AE1007" s="21"/>
    </row>
  </sheetData>
  <hyperlinks>
    <hyperlink r:id="rId2" ref="C4"/>
    <hyperlink r:id="rId3" ref="C5"/>
  </hyperlinks>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34.13"/>
    <col customWidth="1" min="3" max="3" width="16.13"/>
    <col customWidth="1" min="4" max="4" width="25.75"/>
    <col customWidth="1" min="5" max="5" width="24.13"/>
    <col customWidth="1" min="6" max="6" width="26.0"/>
  </cols>
  <sheetData>
    <row r="1">
      <c r="A1" s="33" t="s">
        <v>244</v>
      </c>
      <c r="B1" s="33" t="s">
        <v>245</v>
      </c>
      <c r="C1" s="33" t="s">
        <v>246</v>
      </c>
      <c r="D1" s="34" t="s">
        <v>247</v>
      </c>
      <c r="E1" s="34" t="s">
        <v>248</v>
      </c>
      <c r="F1" s="35"/>
      <c r="G1" s="35"/>
      <c r="H1" s="35"/>
      <c r="I1" s="35"/>
      <c r="J1" s="35"/>
      <c r="K1" s="35"/>
      <c r="L1" s="35"/>
      <c r="M1" s="35"/>
      <c r="N1" s="35"/>
      <c r="O1" s="35"/>
      <c r="P1" s="35"/>
      <c r="Q1" s="35"/>
      <c r="R1" s="35"/>
      <c r="S1" s="35"/>
      <c r="T1" s="35"/>
      <c r="U1" s="35"/>
      <c r="V1" s="35"/>
      <c r="W1" s="35"/>
      <c r="X1" s="35"/>
      <c r="Y1" s="35"/>
      <c r="Z1" s="35"/>
      <c r="AA1" s="35"/>
    </row>
    <row r="2">
      <c r="A2" s="36" t="s">
        <v>249</v>
      </c>
      <c r="B2" s="37" t="s">
        <v>250</v>
      </c>
      <c r="C2" s="38" t="s">
        <v>251</v>
      </c>
      <c r="D2" s="39" t="s">
        <v>252</v>
      </c>
      <c r="E2" s="40" t="s">
        <v>253</v>
      </c>
    </row>
    <row r="3">
      <c r="A3" s="41" t="s">
        <v>254</v>
      </c>
      <c r="B3" s="42" t="s">
        <v>255</v>
      </c>
      <c r="C3" s="42" t="s">
        <v>251</v>
      </c>
      <c r="D3" s="43" t="s">
        <v>252</v>
      </c>
      <c r="E3" s="43" t="s">
        <v>252</v>
      </c>
      <c r="F3" s="44" t="s">
        <v>256</v>
      </c>
      <c r="G3" s="45"/>
      <c r="H3" s="45"/>
      <c r="I3" s="45"/>
      <c r="J3" s="45"/>
      <c r="K3" s="45"/>
      <c r="L3" s="45"/>
      <c r="M3" s="45"/>
      <c r="N3" s="45"/>
      <c r="O3" s="45"/>
      <c r="P3" s="45"/>
      <c r="Q3" s="45"/>
      <c r="R3" s="45"/>
      <c r="S3" s="45"/>
      <c r="T3" s="45"/>
      <c r="U3" s="45"/>
      <c r="V3" s="45"/>
      <c r="W3" s="45"/>
      <c r="X3" s="45"/>
      <c r="Y3" s="45"/>
      <c r="Z3" s="45"/>
      <c r="AA3" s="45"/>
    </row>
    <row r="4">
      <c r="A4" s="36" t="s">
        <v>257</v>
      </c>
      <c r="B4" s="37" t="s">
        <v>258</v>
      </c>
      <c r="C4" s="38" t="s">
        <v>251</v>
      </c>
      <c r="D4" s="39" t="s">
        <v>252</v>
      </c>
      <c r="E4" s="40" t="s">
        <v>252</v>
      </c>
    </row>
    <row r="5">
      <c r="A5" s="41" t="s">
        <v>259</v>
      </c>
      <c r="B5" s="42" t="s">
        <v>260</v>
      </c>
      <c r="C5" s="42" t="s">
        <v>251</v>
      </c>
      <c r="D5" s="43" t="s">
        <v>261</v>
      </c>
      <c r="E5" s="43" t="s">
        <v>252</v>
      </c>
      <c r="F5" s="45"/>
      <c r="G5" s="45"/>
      <c r="H5" s="45"/>
      <c r="I5" s="45"/>
      <c r="J5" s="45"/>
      <c r="K5" s="45"/>
      <c r="L5" s="45"/>
      <c r="M5" s="45"/>
      <c r="N5" s="45"/>
      <c r="O5" s="45"/>
      <c r="P5" s="45"/>
      <c r="Q5" s="45"/>
      <c r="R5" s="45"/>
      <c r="S5" s="45"/>
      <c r="T5" s="45"/>
      <c r="U5" s="45"/>
      <c r="V5" s="45"/>
      <c r="W5" s="45"/>
      <c r="X5" s="45"/>
      <c r="Y5" s="45"/>
      <c r="Z5" s="45"/>
      <c r="AA5" s="45"/>
    </row>
    <row r="6">
      <c r="A6" s="36" t="s">
        <v>262</v>
      </c>
      <c r="B6" s="37" t="s">
        <v>263</v>
      </c>
      <c r="C6" s="38" t="s">
        <v>251</v>
      </c>
      <c r="D6" s="39" t="s">
        <v>252</v>
      </c>
      <c r="E6" s="40" t="s">
        <v>261</v>
      </c>
    </row>
    <row r="7">
      <c r="A7" s="36" t="s">
        <v>264</v>
      </c>
      <c r="B7" s="37" t="s">
        <v>265</v>
      </c>
      <c r="C7" s="38" t="s">
        <v>251</v>
      </c>
      <c r="D7" s="39" t="s">
        <v>252</v>
      </c>
      <c r="E7" s="40" t="s">
        <v>266</v>
      </c>
    </row>
    <row r="8">
      <c r="A8" s="36" t="s">
        <v>267</v>
      </c>
      <c r="B8" s="37" t="s">
        <v>268</v>
      </c>
      <c r="C8" s="38" t="s">
        <v>251</v>
      </c>
      <c r="D8" s="39" t="s">
        <v>266</v>
      </c>
      <c r="E8" s="40" t="s">
        <v>252</v>
      </c>
    </row>
    <row r="9">
      <c r="A9" s="36" t="s">
        <v>269</v>
      </c>
      <c r="B9" s="37" t="s">
        <v>270</v>
      </c>
      <c r="C9" s="38" t="s">
        <v>251</v>
      </c>
      <c r="D9" s="39" t="s">
        <v>252</v>
      </c>
      <c r="E9" s="40" t="s">
        <v>271</v>
      </c>
    </row>
    <row r="10">
      <c r="A10" s="46" t="s">
        <v>272</v>
      </c>
      <c r="B10" s="47" t="s">
        <v>273</v>
      </c>
      <c r="C10" s="47" t="s">
        <v>251</v>
      </c>
      <c r="D10" s="48" t="s">
        <v>252</v>
      </c>
      <c r="E10" s="48" t="s">
        <v>252</v>
      </c>
      <c r="F10" s="49"/>
      <c r="G10" s="49"/>
      <c r="H10" s="49"/>
      <c r="I10" s="49"/>
      <c r="J10" s="49"/>
      <c r="K10" s="49"/>
      <c r="L10" s="49"/>
      <c r="M10" s="49"/>
      <c r="N10" s="49"/>
      <c r="O10" s="49"/>
      <c r="P10" s="49"/>
      <c r="Q10" s="49"/>
      <c r="R10" s="49"/>
      <c r="S10" s="49"/>
      <c r="T10" s="49"/>
      <c r="U10" s="49"/>
      <c r="V10" s="49"/>
      <c r="W10" s="49"/>
      <c r="X10" s="49"/>
      <c r="Y10" s="49"/>
      <c r="Z10" s="49"/>
      <c r="AA10" s="49"/>
    </row>
    <row r="11">
      <c r="A11" s="36" t="s">
        <v>274</v>
      </c>
      <c r="B11" s="50" t="s">
        <v>275</v>
      </c>
      <c r="C11" s="38" t="s">
        <v>251</v>
      </c>
      <c r="D11" s="39" t="s">
        <v>252</v>
      </c>
      <c r="E11" s="40" t="s">
        <v>252</v>
      </c>
    </row>
    <row r="12">
      <c r="A12" s="36" t="s">
        <v>276</v>
      </c>
      <c r="B12" s="37" t="s">
        <v>277</v>
      </c>
      <c r="C12" s="38" t="s">
        <v>251</v>
      </c>
      <c r="D12" s="39" t="s">
        <v>252</v>
      </c>
      <c r="E12" s="51" t="s">
        <v>278</v>
      </c>
    </row>
    <row r="13">
      <c r="A13" s="36" t="s">
        <v>279</v>
      </c>
      <c r="B13" s="37" t="s">
        <v>280</v>
      </c>
      <c r="C13" s="38" t="s">
        <v>251</v>
      </c>
      <c r="D13" s="52" t="str">
        <f>E12</f>
        <v>tair:ExhibitedCharacteristic</v>
      </c>
      <c r="E13" s="40" t="s">
        <v>252</v>
      </c>
    </row>
    <row r="14">
      <c r="A14" s="36" t="s">
        <v>281</v>
      </c>
      <c r="B14" s="37" t="s">
        <v>282</v>
      </c>
      <c r="C14" s="38" t="s">
        <v>251</v>
      </c>
      <c r="D14" s="39" t="s">
        <v>252</v>
      </c>
      <c r="E14" s="40" t="s">
        <v>253</v>
      </c>
    </row>
    <row r="15">
      <c r="A15" s="36" t="s">
        <v>283</v>
      </c>
      <c r="B15" s="37" t="s">
        <v>284</v>
      </c>
      <c r="C15" s="38" t="s">
        <v>251</v>
      </c>
      <c r="D15" s="39" t="s">
        <v>261</v>
      </c>
      <c r="E15" s="40" t="s">
        <v>285</v>
      </c>
    </row>
    <row r="16">
      <c r="A16" s="36" t="s">
        <v>286</v>
      </c>
      <c r="B16" s="37" t="s">
        <v>287</v>
      </c>
      <c r="C16" s="38" t="s">
        <v>251</v>
      </c>
      <c r="D16" s="39" t="s">
        <v>252</v>
      </c>
      <c r="E16" s="40" t="s">
        <v>288</v>
      </c>
    </row>
    <row r="17">
      <c r="A17" s="53"/>
      <c r="B17" s="53"/>
      <c r="C17" s="53"/>
      <c r="D17" s="54"/>
      <c r="E17" s="54"/>
    </row>
    <row r="18">
      <c r="A18" s="53"/>
      <c r="B18" s="53"/>
      <c r="C18" s="53"/>
      <c r="D18" s="54"/>
      <c r="E18" s="54"/>
    </row>
    <row r="19">
      <c r="A19" s="53"/>
      <c r="B19" s="53"/>
      <c r="C19" s="53"/>
      <c r="D19" s="54"/>
      <c r="E19" s="54"/>
    </row>
    <row r="20">
      <c r="A20" s="53"/>
      <c r="B20" s="53"/>
      <c r="C20" s="53"/>
      <c r="D20" s="54"/>
      <c r="E20" s="54"/>
    </row>
    <row r="21">
      <c r="A21" s="53"/>
      <c r="B21" s="53"/>
      <c r="C21" s="53"/>
      <c r="D21" s="54"/>
      <c r="E21" s="54"/>
    </row>
    <row r="22">
      <c r="A22" s="53"/>
      <c r="B22" s="53"/>
      <c r="C22" s="53"/>
      <c r="D22" s="54"/>
      <c r="E22" s="54"/>
    </row>
    <row r="23">
      <c r="A23" s="53"/>
      <c r="B23" s="53"/>
      <c r="C23" s="53"/>
      <c r="D23" s="54"/>
      <c r="E23" s="54"/>
    </row>
    <row r="24">
      <c r="A24" s="53"/>
      <c r="B24" s="53"/>
      <c r="C24" s="53"/>
      <c r="D24" s="54"/>
      <c r="E24" s="54"/>
    </row>
    <row r="25">
      <c r="A25" s="53"/>
      <c r="B25" s="53"/>
      <c r="C25" s="53"/>
      <c r="D25" s="54"/>
      <c r="E25" s="54"/>
    </row>
    <row r="26">
      <c r="A26" s="53"/>
      <c r="B26" s="53"/>
      <c r="C26" s="53"/>
      <c r="D26" s="54"/>
      <c r="E26" s="54"/>
    </row>
    <row r="27">
      <c r="A27" s="53"/>
      <c r="B27" s="53"/>
      <c r="C27" s="53"/>
      <c r="D27" s="54"/>
      <c r="E27" s="54"/>
    </row>
    <row r="28">
      <c r="A28" s="53"/>
      <c r="B28" s="53"/>
      <c r="C28" s="53"/>
      <c r="D28" s="54"/>
      <c r="E28" s="54"/>
    </row>
    <row r="29">
      <c r="A29" s="53"/>
      <c r="B29" s="53"/>
      <c r="C29" s="53"/>
      <c r="D29" s="54"/>
      <c r="E29" s="54"/>
    </row>
    <row r="30">
      <c r="A30" s="53"/>
      <c r="B30" s="53"/>
      <c r="C30" s="53"/>
      <c r="D30" s="54"/>
      <c r="E30" s="54"/>
    </row>
    <row r="31">
      <c r="A31" s="53"/>
      <c r="B31" s="53"/>
      <c r="C31" s="53"/>
      <c r="D31" s="54"/>
      <c r="E31" s="54"/>
    </row>
    <row r="32">
      <c r="A32" s="53"/>
      <c r="B32" s="53"/>
      <c r="C32" s="53"/>
      <c r="D32" s="54"/>
      <c r="E32" s="54"/>
    </row>
    <row r="33">
      <c r="A33" s="53"/>
      <c r="B33" s="53"/>
      <c r="C33" s="53"/>
      <c r="D33" s="54"/>
      <c r="E33" s="54"/>
    </row>
    <row r="34">
      <c r="A34" s="53"/>
      <c r="B34" s="53"/>
      <c r="C34" s="53"/>
      <c r="D34" s="54"/>
      <c r="E34" s="54"/>
    </row>
    <row r="35">
      <c r="A35" s="53"/>
      <c r="B35" s="53"/>
      <c r="C35" s="53"/>
      <c r="D35" s="54"/>
      <c r="E35" s="54"/>
    </row>
    <row r="36">
      <c r="A36" s="53"/>
      <c r="B36" s="53"/>
      <c r="C36" s="53"/>
      <c r="D36" s="54"/>
      <c r="E36" s="54"/>
    </row>
    <row r="37">
      <c r="A37" s="53"/>
      <c r="B37" s="53"/>
      <c r="C37" s="53"/>
      <c r="D37" s="54"/>
      <c r="E37" s="54"/>
    </row>
    <row r="38">
      <c r="A38" s="53"/>
      <c r="B38" s="53"/>
      <c r="C38" s="53"/>
      <c r="D38" s="54"/>
      <c r="E38" s="54"/>
    </row>
    <row r="39">
      <c r="A39" s="53"/>
      <c r="B39" s="53"/>
      <c r="C39" s="53"/>
      <c r="D39" s="54"/>
      <c r="E39" s="54"/>
    </row>
    <row r="40">
      <c r="A40" s="53"/>
      <c r="B40" s="53"/>
      <c r="C40" s="53"/>
      <c r="D40" s="54"/>
      <c r="E40" s="54"/>
    </row>
    <row r="41">
      <c r="A41" s="53"/>
      <c r="B41" s="53"/>
      <c r="C41" s="53"/>
      <c r="D41" s="54"/>
      <c r="E41" s="54"/>
    </row>
    <row r="42">
      <c r="A42" s="53"/>
      <c r="B42" s="53"/>
      <c r="C42" s="53"/>
      <c r="D42" s="54"/>
      <c r="E42" s="54"/>
    </row>
    <row r="43">
      <c r="A43" s="53"/>
      <c r="B43" s="53"/>
      <c r="C43" s="53"/>
      <c r="D43" s="54"/>
      <c r="E43" s="54"/>
    </row>
    <row r="44">
      <c r="A44" s="53"/>
      <c r="B44" s="53"/>
      <c r="C44" s="53"/>
      <c r="D44" s="54"/>
      <c r="E44" s="54"/>
    </row>
    <row r="45">
      <c r="A45" s="53"/>
      <c r="B45" s="53"/>
      <c r="C45" s="53"/>
      <c r="D45" s="54"/>
      <c r="E45" s="54"/>
    </row>
    <row r="46">
      <c r="A46" s="53"/>
      <c r="B46" s="53"/>
      <c r="C46" s="53"/>
      <c r="D46" s="54"/>
      <c r="E46" s="54"/>
    </row>
    <row r="47">
      <c r="A47" s="53"/>
      <c r="B47" s="53"/>
      <c r="C47" s="53"/>
      <c r="D47" s="54"/>
      <c r="E47" s="54"/>
    </row>
    <row r="48">
      <c r="A48" s="53"/>
      <c r="B48" s="53"/>
      <c r="C48" s="53"/>
      <c r="D48" s="54"/>
      <c r="E48" s="54"/>
    </row>
    <row r="49">
      <c r="A49" s="53"/>
      <c r="B49" s="53"/>
      <c r="C49" s="53"/>
      <c r="D49" s="54"/>
      <c r="E49" s="54"/>
    </row>
    <row r="50">
      <c r="A50" s="53"/>
      <c r="B50" s="53"/>
      <c r="C50" s="53"/>
      <c r="D50" s="54"/>
      <c r="E50" s="54"/>
    </row>
    <row r="51">
      <c r="A51" s="53"/>
      <c r="B51" s="53"/>
      <c r="C51" s="53"/>
      <c r="D51" s="54"/>
      <c r="E51" s="54"/>
    </row>
    <row r="52">
      <c r="A52" s="53"/>
      <c r="B52" s="53"/>
      <c r="C52" s="53"/>
      <c r="D52" s="54"/>
      <c r="E52" s="54"/>
    </row>
    <row r="53">
      <c r="A53" s="53"/>
      <c r="B53" s="53"/>
      <c r="C53" s="53"/>
      <c r="D53" s="54"/>
      <c r="E53" s="54"/>
    </row>
    <row r="54">
      <c r="A54" s="53"/>
      <c r="B54" s="53"/>
      <c r="C54" s="53"/>
      <c r="D54" s="54"/>
      <c r="E54" s="54"/>
    </row>
    <row r="55">
      <c r="A55" s="53"/>
      <c r="B55" s="53"/>
      <c r="C55" s="53"/>
      <c r="D55" s="54"/>
      <c r="E55" s="54"/>
    </row>
    <row r="56">
      <c r="A56" s="53"/>
      <c r="B56" s="53"/>
      <c r="C56" s="53"/>
      <c r="D56" s="54"/>
      <c r="E56" s="54"/>
    </row>
    <row r="57">
      <c r="A57" s="53"/>
      <c r="B57" s="53"/>
      <c r="C57" s="53"/>
      <c r="D57" s="54"/>
      <c r="E57" s="54"/>
    </row>
    <row r="58">
      <c r="A58" s="53"/>
      <c r="B58" s="53"/>
      <c r="C58" s="53"/>
      <c r="D58" s="54"/>
      <c r="E58" s="54"/>
    </row>
    <row r="59">
      <c r="A59" s="53"/>
      <c r="B59" s="53"/>
      <c r="C59" s="53"/>
      <c r="D59" s="54"/>
      <c r="E59" s="54"/>
    </row>
    <row r="60">
      <c r="A60" s="53"/>
      <c r="B60" s="53"/>
      <c r="C60" s="53"/>
      <c r="D60" s="54"/>
      <c r="E60" s="54"/>
    </row>
    <row r="61">
      <c r="A61" s="53"/>
      <c r="B61" s="53"/>
      <c r="C61" s="53"/>
      <c r="D61" s="54"/>
      <c r="E61" s="54"/>
    </row>
    <row r="62">
      <c r="A62" s="53"/>
      <c r="B62" s="53"/>
      <c r="C62" s="53"/>
      <c r="D62" s="54"/>
      <c r="E62" s="54"/>
    </row>
    <row r="63">
      <c r="A63" s="53"/>
      <c r="B63" s="53"/>
      <c r="C63" s="53"/>
      <c r="D63" s="54"/>
      <c r="E63" s="54"/>
    </row>
    <row r="64">
      <c r="A64" s="53"/>
      <c r="B64" s="53"/>
      <c r="C64" s="53"/>
      <c r="D64" s="54"/>
      <c r="E64" s="54"/>
    </row>
    <row r="65">
      <c r="A65" s="53"/>
      <c r="B65" s="53"/>
      <c r="C65" s="53"/>
      <c r="D65" s="54"/>
      <c r="E65" s="54"/>
    </row>
    <row r="66">
      <c r="A66" s="53"/>
      <c r="B66" s="53"/>
      <c r="C66" s="53"/>
      <c r="D66" s="54"/>
      <c r="E66" s="54"/>
    </row>
    <row r="67">
      <c r="A67" s="53"/>
      <c r="B67" s="53"/>
      <c r="C67" s="53"/>
      <c r="D67" s="54"/>
      <c r="E67" s="54"/>
    </row>
    <row r="68">
      <c r="A68" s="53"/>
      <c r="B68" s="53"/>
      <c r="C68" s="53"/>
      <c r="D68" s="54"/>
      <c r="E68" s="54"/>
    </row>
    <row r="69">
      <c r="A69" s="53"/>
      <c r="B69" s="53"/>
      <c r="C69" s="53"/>
      <c r="D69" s="54"/>
      <c r="E69" s="54"/>
    </row>
    <row r="70">
      <c r="A70" s="53"/>
      <c r="B70" s="53"/>
      <c r="C70" s="53"/>
      <c r="D70" s="54"/>
      <c r="E70" s="54"/>
    </row>
    <row r="71">
      <c r="A71" s="53"/>
      <c r="B71" s="53"/>
      <c r="C71" s="53"/>
      <c r="D71" s="54"/>
      <c r="E71" s="54"/>
    </row>
    <row r="72">
      <c r="A72" s="53"/>
      <c r="B72" s="53"/>
      <c r="C72" s="53"/>
      <c r="D72" s="54"/>
      <c r="E72" s="54"/>
    </row>
    <row r="73">
      <c r="A73" s="53"/>
      <c r="B73" s="53"/>
      <c r="C73" s="53"/>
      <c r="D73" s="54"/>
      <c r="E73" s="54"/>
    </row>
    <row r="74">
      <c r="A74" s="53"/>
      <c r="B74" s="53"/>
      <c r="C74" s="53"/>
      <c r="D74" s="54"/>
      <c r="E74" s="54"/>
    </row>
    <row r="75">
      <c r="A75" s="53"/>
      <c r="B75" s="53"/>
      <c r="C75" s="53"/>
      <c r="D75" s="54"/>
      <c r="E75" s="54"/>
    </row>
    <row r="76">
      <c r="A76" s="53"/>
      <c r="B76" s="53"/>
      <c r="C76" s="53"/>
      <c r="D76" s="54"/>
      <c r="E76" s="54"/>
    </row>
    <row r="77">
      <c r="A77" s="53"/>
      <c r="B77" s="53"/>
      <c r="C77" s="53"/>
      <c r="D77" s="54"/>
      <c r="E77" s="54"/>
    </row>
    <row r="78">
      <c r="A78" s="53"/>
      <c r="B78" s="53"/>
      <c r="C78" s="53"/>
      <c r="D78" s="54"/>
      <c r="E78" s="54"/>
    </row>
    <row r="79">
      <c r="A79" s="53"/>
      <c r="B79" s="53"/>
      <c r="C79" s="53"/>
      <c r="D79" s="54"/>
      <c r="E79" s="54"/>
    </row>
    <row r="80">
      <c r="A80" s="53"/>
      <c r="B80" s="53"/>
      <c r="C80" s="53"/>
      <c r="D80" s="54"/>
      <c r="E80" s="54"/>
    </row>
    <row r="81">
      <c r="A81" s="53"/>
      <c r="B81" s="53"/>
      <c r="C81" s="53"/>
      <c r="D81" s="54"/>
      <c r="E81" s="54"/>
    </row>
    <row r="82">
      <c r="A82" s="53"/>
      <c r="B82" s="53"/>
      <c r="C82" s="53"/>
      <c r="D82" s="54"/>
      <c r="E82" s="54"/>
    </row>
    <row r="83">
      <c r="A83" s="53"/>
      <c r="B83" s="53"/>
      <c r="C83" s="53"/>
      <c r="D83" s="54"/>
      <c r="E83" s="54"/>
    </row>
    <row r="84">
      <c r="A84" s="53"/>
      <c r="B84" s="53"/>
      <c r="C84" s="53"/>
      <c r="D84" s="54"/>
      <c r="E84" s="54"/>
    </row>
    <row r="85">
      <c r="A85" s="53"/>
      <c r="B85" s="53"/>
      <c r="C85" s="53"/>
      <c r="D85" s="54"/>
      <c r="E85" s="54"/>
    </row>
    <row r="86">
      <c r="A86" s="53"/>
      <c r="B86" s="53"/>
      <c r="C86" s="53"/>
      <c r="D86" s="54"/>
      <c r="E86" s="54"/>
    </row>
    <row r="87">
      <c r="A87" s="53"/>
      <c r="B87" s="53"/>
      <c r="C87" s="53"/>
      <c r="D87" s="54"/>
      <c r="E87" s="54"/>
    </row>
    <row r="88">
      <c r="A88" s="53"/>
      <c r="B88" s="53"/>
      <c r="C88" s="53"/>
      <c r="D88" s="54"/>
      <c r="E88" s="54"/>
    </row>
    <row r="89">
      <c r="A89" s="53"/>
      <c r="B89" s="53"/>
      <c r="C89" s="53"/>
      <c r="D89" s="54"/>
      <c r="E89" s="54"/>
    </row>
    <row r="90">
      <c r="A90" s="53"/>
      <c r="B90" s="53"/>
      <c r="C90" s="53"/>
      <c r="D90" s="54"/>
      <c r="E90" s="54"/>
    </row>
    <row r="91">
      <c r="A91" s="53"/>
      <c r="B91" s="53"/>
      <c r="C91" s="53"/>
      <c r="D91" s="54"/>
      <c r="E91" s="54"/>
    </row>
    <row r="92">
      <c r="A92" s="53"/>
      <c r="B92" s="53"/>
      <c r="C92" s="53"/>
      <c r="D92" s="54"/>
      <c r="E92" s="54"/>
    </row>
    <row r="93">
      <c r="A93" s="53"/>
      <c r="B93" s="53"/>
      <c r="C93" s="53"/>
      <c r="D93" s="54"/>
      <c r="E93" s="54"/>
    </row>
    <row r="94">
      <c r="A94" s="53"/>
      <c r="B94" s="53"/>
      <c r="C94" s="53"/>
      <c r="D94" s="54"/>
      <c r="E94" s="54"/>
    </row>
    <row r="95">
      <c r="A95" s="53"/>
      <c r="B95" s="53"/>
      <c r="C95" s="53"/>
      <c r="D95" s="54"/>
      <c r="E95" s="54"/>
    </row>
    <row r="96">
      <c r="A96" s="53"/>
      <c r="B96" s="53"/>
      <c r="C96" s="53"/>
      <c r="D96" s="54"/>
      <c r="E96" s="54"/>
    </row>
    <row r="97">
      <c r="A97" s="53"/>
      <c r="B97" s="53"/>
      <c r="C97" s="53"/>
      <c r="D97" s="54"/>
      <c r="E97" s="54"/>
    </row>
    <row r="98">
      <c r="A98" s="53"/>
      <c r="B98" s="53"/>
      <c r="C98" s="53"/>
      <c r="D98" s="54"/>
      <c r="E98" s="54"/>
    </row>
    <row r="99">
      <c r="A99" s="53"/>
      <c r="B99" s="53"/>
      <c r="C99" s="53"/>
      <c r="D99" s="54"/>
      <c r="E99" s="54"/>
    </row>
    <row r="100">
      <c r="A100" s="53"/>
      <c r="B100" s="53"/>
      <c r="C100" s="53"/>
      <c r="D100" s="54"/>
      <c r="E100" s="54"/>
    </row>
    <row r="101">
      <c r="A101" s="53"/>
      <c r="B101" s="53"/>
      <c r="C101" s="53"/>
      <c r="D101" s="54"/>
      <c r="E101" s="54"/>
    </row>
    <row r="102">
      <c r="A102" s="53"/>
      <c r="B102" s="53"/>
      <c r="C102" s="53"/>
      <c r="D102" s="54"/>
      <c r="E102" s="54"/>
    </row>
    <row r="103">
      <c r="A103" s="53"/>
      <c r="B103" s="53"/>
      <c r="C103" s="53"/>
      <c r="D103" s="54"/>
      <c r="E103" s="54"/>
    </row>
    <row r="104">
      <c r="A104" s="53"/>
      <c r="B104" s="53"/>
      <c r="C104" s="53"/>
      <c r="D104" s="54"/>
      <c r="E104" s="54"/>
    </row>
    <row r="105">
      <c r="A105" s="53"/>
      <c r="B105" s="53"/>
      <c r="C105" s="53"/>
      <c r="D105" s="54"/>
      <c r="E105" s="54"/>
    </row>
    <row r="106">
      <c r="A106" s="53"/>
      <c r="B106" s="53"/>
      <c r="C106" s="53"/>
      <c r="D106" s="54"/>
      <c r="E106" s="54"/>
    </row>
    <row r="107">
      <c r="A107" s="53"/>
      <c r="B107" s="53"/>
      <c r="C107" s="53"/>
      <c r="D107" s="54"/>
      <c r="E107" s="54"/>
    </row>
    <row r="108">
      <c r="A108" s="53"/>
      <c r="B108" s="53"/>
      <c r="C108" s="53"/>
      <c r="D108" s="54"/>
      <c r="E108" s="54"/>
    </row>
    <row r="109">
      <c r="A109" s="53"/>
      <c r="B109" s="53"/>
      <c r="C109" s="53"/>
      <c r="D109" s="54"/>
      <c r="E109" s="54"/>
    </row>
    <row r="110">
      <c r="A110" s="53"/>
      <c r="B110" s="53"/>
      <c r="C110" s="53"/>
      <c r="D110" s="54"/>
      <c r="E110" s="54"/>
    </row>
    <row r="111">
      <c r="A111" s="53"/>
      <c r="B111" s="53"/>
      <c r="C111" s="53"/>
      <c r="D111" s="54"/>
      <c r="E111" s="54"/>
    </row>
    <row r="112">
      <c r="A112" s="53"/>
      <c r="B112" s="53"/>
      <c r="C112" s="53"/>
      <c r="D112" s="54"/>
      <c r="E112" s="54"/>
    </row>
    <row r="113">
      <c r="A113" s="53"/>
      <c r="B113" s="53"/>
      <c r="C113" s="53"/>
      <c r="D113" s="54"/>
      <c r="E113" s="54"/>
    </row>
    <row r="114">
      <c r="A114" s="53"/>
      <c r="B114" s="53"/>
      <c r="C114" s="53"/>
      <c r="D114" s="54"/>
      <c r="E114" s="54"/>
    </row>
    <row r="115">
      <c r="A115" s="53"/>
      <c r="B115" s="53"/>
      <c r="C115" s="53"/>
      <c r="D115" s="54"/>
      <c r="E115" s="54"/>
    </row>
    <row r="116">
      <c r="A116" s="53"/>
      <c r="B116" s="53"/>
      <c r="C116" s="53"/>
      <c r="D116" s="54"/>
      <c r="E116" s="54"/>
    </row>
    <row r="117">
      <c r="A117" s="53"/>
      <c r="B117" s="53"/>
      <c r="C117" s="53"/>
      <c r="D117" s="54"/>
      <c r="E117" s="54"/>
    </row>
    <row r="118">
      <c r="A118" s="53"/>
      <c r="B118" s="53"/>
      <c r="C118" s="53"/>
      <c r="D118" s="54"/>
      <c r="E118" s="54"/>
    </row>
    <row r="119">
      <c r="A119" s="53"/>
      <c r="B119" s="53"/>
      <c r="C119" s="53"/>
      <c r="D119" s="54"/>
      <c r="E119" s="54"/>
    </row>
    <row r="120">
      <c r="A120" s="53"/>
      <c r="B120" s="53"/>
      <c r="C120" s="53"/>
      <c r="D120" s="54"/>
      <c r="E120" s="54"/>
    </row>
    <row r="121">
      <c r="A121" s="53"/>
      <c r="B121" s="53"/>
      <c r="C121" s="53"/>
      <c r="D121" s="54"/>
      <c r="E121" s="54"/>
    </row>
    <row r="122">
      <c r="A122" s="53"/>
      <c r="B122" s="53"/>
      <c r="C122" s="53"/>
      <c r="D122" s="54"/>
      <c r="E122" s="54"/>
    </row>
    <row r="123">
      <c r="A123" s="53"/>
      <c r="B123" s="53"/>
      <c r="C123" s="53"/>
      <c r="D123" s="54"/>
      <c r="E123" s="54"/>
    </row>
    <row r="124">
      <c r="A124" s="53"/>
      <c r="B124" s="53"/>
      <c r="C124" s="53"/>
      <c r="D124" s="54"/>
      <c r="E124" s="54"/>
    </row>
    <row r="125">
      <c r="A125" s="53"/>
      <c r="B125" s="53"/>
      <c r="C125" s="53"/>
      <c r="D125" s="54"/>
      <c r="E125" s="54"/>
    </row>
    <row r="126">
      <c r="A126" s="53"/>
      <c r="B126" s="53"/>
      <c r="C126" s="53"/>
      <c r="D126" s="54"/>
      <c r="E126" s="54"/>
    </row>
    <row r="127">
      <c r="A127" s="53"/>
      <c r="B127" s="53"/>
      <c r="C127" s="53"/>
      <c r="D127" s="54"/>
      <c r="E127" s="54"/>
    </row>
    <row r="128">
      <c r="A128" s="53"/>
      <c r="B128" s="53"/>
      <c r="C128" s="53"/>
      <c r="D128" s="54"/>
      <c r="E128" s="54"/>
    </row>
    <row r="129">
      <c r="A129" s="53"/>
      <c r="B129" s="53"/>
      <c r="C129" s="53"/>
      <c r="D129" s="54"/>
      <c r="E129" s="54"/>
    </row>
    <row r="130">
      <c r="A130" s="53"/>
      <c r="B130" s="53"/>
      <c r="C130" s="53"/>
      <c r="D130" s="54"/>
      <c r="E130" s="54"/>
    </row>
    <row r="131">
      <c r="A131" s="53"/>
      <c r="B131" s="53"/>
      <c r="C131" s="53"/>
      <c r="D131" s="54"/>
      <c r="E131" s="54"/>
    </row>
    <row r="132">
      <c r="A132" s="53"/>
      <c r="B132" s="53"/>
      <c r="C132" s="53"/>
      <c r="D132" s="54"/>
      <c r="E132" s="54"/>
    </row>
    <row r="133">
      <c r="A133" s="53"/>
      <c r="B133" s="53"/>
      <c r="C133" s="53"/>
      <c r="D133" s="54"/>
      <c r="E133" s="54"/>
    </row>
    <row r="134">
      <c r="A134" s="53"/>
      <c r="B134" s="53"/>
      <c r="C134" s="53"/>
      <c r="D134" s="54"/>
      <c r="E134" s="54"/>
    </row>
    <row r="135">
      <c r="A135" s="53"/>
      <c r="B135" s="53"/>
      <c r="C135" s="53"/>
      <c r="D135" s="54"/>
      <c r="E135" s="54"/>
    </row>
    <row r="136">
      <c r="A136" s="53"/>
      <c r="B136" s="53"/>
      <c r="C136" s="53"/>
      <c r="D136" s="54"/>
      <c r="E136" s="54"/>
    </row>
    <row r="137">
      <c r="A137" s="53"/>
      <c r="B137" s="53"/>
      <c r="C137" s="53"/>
      <c r="D137" s="54"/>
      <c r="E137" s="54"/>
    </row>
    <row r="138">
      <c r="A138" s="53"/>
      <c r="B138" s="53"/>
      <c r="C138" s="53"/>
      <c r="D138" s="54"/>
      <c r="E138" s="54"/>
    </row>
    <row r="139">
      <c r="A139" s="53"/>
      <c r="B139" s="53"/>
      <c r="C139" s="53"/>
      <c r="D139" s="54"/>
      <c r="E139" s="54"/>
    </row>
    <row r="140">
      <c r="A140" s="53"/>
      <c r="B140" s="53"/>
      <c r="C140" s="53"/>
      <c r="D140" s="54"/>
      <c r="E140" s="54"/>
    </row>
    <row r="141">
      <c r="A141" s="53"/>
      <c r="B141" s="53"/>
      <c r="C141" s="53"/>
      <c r="D141" s="54"/>
      <c r="E141" s="54"/>
    </row>
    <row r="142">
      <c r="A142" s="53"/>
      <c r="B142" s="53"/>
      <c r="C142" s="53"/>
      <c r="D142" s="54"/>
      <c r="E142" s="54"/>
    </row>
    <row r="143">
      <c r="A143" s="53"/>
      <c r="B143" s="53"/>
      <c r="C143" s="53"/>
      <c r="D143" s="54"/>
      <c r="E143" s="54"/>
    </row>
    <row r="144">
      <c r="A144" s="53"/>
      <c r="B144" s="53"/>
      <c r="C144" s="53"/>
      <c r="D144" s="54"/>
      <c r="E144" s="54"/>
    </row>
    <row r="145">
      <c r="A145" s="53"/>
      <c r="B145" s="53"/>
      <c r="C145" s="53"/>
      <c r="D145" s="54"/>
      <c r="E145" s="54"/>
    </row>
    <row r="146">
      <c r="A146" s="53"/>
      <c r="B146" s="53"/>
      <c r="C146" s="53"/>
      <c r="D146" s="54"/>
      <c r="E146" s="54"/>
    </row>
    <row r="147">
      <c r="A147" s="53"/>
      <c r="B147" s="53"/>
      <c r="C147" s="53"/>
      <c r="D147" s="54"/>
      <c r="E147" s="54"/>
    </row>
    <row r="148">
      <c r="A148" s="53"/>
      <c r="B148" s="53"/>
      <c r="C148" s="53"/>
      <c r="D148" s="54"/>
      <c r="E148" s="54"/>
    </row>
    <row r="149">
      <c r="A149" s="53"/>
      <c r="B149" s="53"/>
      <c r="C149" s="53"/>
      <c r="D149" s="54"/>
      <c r="E149" s="54"/>
    </row>
    <row r="150">
      <c r="A150" s="53"/>
      <c r="B150" s="53"/>
      <c r="C150" s="53"/>
      <c r="D150" s="54"/>
      <c r="E150" s="54"/>
    </row>
    <row r="151">
      <c r="A151" s="53"/>
      <c r="B151" s="53"/>
      <c r="C151" s="53"/>
      <c r="D151" s="54"/>
      <c r="E151" s="54"/>
    </row>
    <row r="152">
      <c r="A152" s="53"/>
      <c r="B152" s="53"/>
      <c r="C152" s="53"/>
      <c r="D152" s="54"/>
      <c r="E152" s="54"/>
    </row>
    <row r="153">
      <c r="A153" s="53"/>
      <c r="B153" s="53"/>
      <c r="C153" s="53"/>
      <c r="D153" s="54"/>
      <c r="E153" s="54"/>
    </row>
    <row r="154">
      <c r="A154" s="53"/>
      <c r="B154" s="53"/>
      <c r="C154" s="53"/>
      <c r="D154" s="54"/>
      <c r="E154" s="54"/>
    </row>
    <row r="155">
      <c r="A155" s="53"/>
      <c r="B155" s="53"/>
      <c r="C155" s="53"/>
      <c r="D155" s="54"/>
      <c r="E155" s="54"/>
    </row>
    <row r="156">
      <c r="A156" s="53"/>
      <c r="B156" s="53"/>
      <c r="C156" s="53"/>
      <c r="D156" s="54"/>
      <c r="E156" s="54"/>
    </row>
    <row r="157">
      <c r="A157" s="53"/>
      <c r="B157" s="53"/>
      <c r="C157" s="53"/>
      <c r="D157" s="54"/>
      <c r="E157" s="54"/>
    </row>
    <row r="158">
      <c r="A158" s="53"/>
      <c r="B158" s="53"/>
      <c r="C158" s="53"/>
      <c r="D158" s="54"/>
      <c r="E158" s="54"/>
    </row>
    <row r="159">
      <c r="A159" s="53"/>
      <c r="B159" s="53"/>
      <c r="C159" s="53"/>
      <c r="D159" s="54"/>
      <c r="E159" s="54"/>
    </row>
    <row r="160">
      <c r="A160" s="53"/>
      <c r="B160" s="53"/>
      <c r="C160" s="53"/>
      <c r="D160" s="54"/>
      <c r="E160" s="54"/>
    </row>
    <row r="161">
      <c r="A161" s="53"/>
      <c r="B161" s="53"/>
      <c r="C161" s="53"/>
      <c r="D161" s="54"/>
      <c r="E161" s="54"/>
    </row>
    <row r="162">
      <c r="A162" s="53"/>
      <c r="B162" s="53"/>
      <c r="C162" s="53"/>
      <c r="D162" s="54"/>
      <c r="E162" s="54"/>
    </row>
    <row r="163">
      <c r="A163" s="53"/>
      <c r="B163" s="53"/>
      <c r="C163" s="53"/>
      <c r="D163" s="54"/>
      <c r="E163" s="54"/>
    </row>
    <row r="164">
      <c r="A164" s="53"/>
      <c r="B164" s="53"/>
      <c r="C164" s="53"/>
      <c r="D164" s="54"/>
      <c r="E164" s="54"/>
    </row>
    <row r="165">
      <c r="A165" s="53"/>
      <c r="B165" s="53"/>
      <c r="C165" s="53"/>
      <c r="D165" s="54"/>
      <c r="E165" s="54"/>
    </row>
    <row r="166">
      <c r="A166" s="53"/>
      <c r="B166" s="53"/>
      <c r="C166" s="53"/>
      <c r="D166" s="54"/>
      <c r="E166" s="54"/>
    </row>
    <row r="167">
      <c r="A167" s="53"/>
      <c r="B167" s="53"/>
      <c r="C167" s="53"/>
      <c r="D167" s="54"/>
      <c r="E167" s="54"/>
    </row>
    <row r="168">
      <c r="A168" s="53"/>
      <c r="B168" s="53"/>
      <c r="C168" s="53"/>
      <c r="D168" s="54"/>
      <c r="E168" s="54"/>
    </row>
    <row r="169">
      <c r="A169" s="53"/>
      <c r="B169" s="53"/>
      <c r="C169" s="53"/>
      <c r="D169" s="54"/>
      <c r="E169" s="54"/>
    </row>
    <row r="170">
      <c r="A170" s="53"/>
      <c r="B170" s="53"/>
      <c r="C170" s="53"/>
      <c r="D170" s="54"/>
      <c r="E170" s="54"/>
    </row>
    <row r="171">
      <c r="A171" s="53"/>
      <c r="B171" s="53"/>
      <c r="C171" s="53"/>
      <c r="D171" s="54"/>
      <c r="E171" s="54"/>
    </row>
    <row r="172">
      <c r="A172" s="53"/>
      <c r="B172" s="53"/>
      <c r="C172" s="53"/>
      <c r="D172" s="54"/>
      <c r="E172" s="54"/>
    </row>
    <row r="173">
      <c r="A173" s="53"/>
      <c r="B173" s="53"/>
      <c r="C173" s="53"/>
      <c r="D173" s="54"/>
      <c r="E173" s="54"/>
    </row>
    <row r="174">
      <c r="A174" s="53"/>
      <c r="B174" s="53"/>
      <c r="C174" s="53"/>
      <c r="D174" s="54"/>
      <c r="E174" s="54"/>
    </row>
    <row r="175">
      <c r="A175" s="53"/>
      <c r="B175" s="53"/>
      <c r="C175" s="53"/>
      <c r="D175" s="54"/>
      <c r="E175" s="54"/>
    </row>
    <row r="176">
      <c r="A176" s="53"/>
      <c r="B176" s="53"/>
      <c r="C176" s="53"/>
      <c r="D176" s="54"/>
      <c r="E176" s="54"/>
    </row>
    <row r="177">
      <c r="A177" s="53"/>
      <c r="B177" s="53"/>
      <c r="C177" s="53"/>
      <c r="D177" s="54"/>
      <c r="E177" s="54"/>
    </row>
    <row r="178">
      <c r="A178" s="53"/>
      <c r="B178" s="53"/>
      <c r="C178" s="53"/>
      <c r="D178" s="54"/>
      <c r="E178" s="54"/>
    </row>
    <row r="179">
      <c r="A179" s="53"/>
      <c r="B179" s="53"/>
      <c r="C179" s="53"/>
      <c r="D179" s="54"/>
      <c r="E179" s="54"/>
    </row>
    <row r="180">
      <c r="A180" s="53"/>
      <c r="B180" s="53"/>
      <c r="C180" s="53"/>
      <c r="D180" s="54"/>
      <c r="E180" s="54"/>
    </row>
    <row r="181">
      <c r="A181" s="53"/>
      <c r="B181" s="53"/>
      <c r="C181" s="53"/>
      <c r="D181" s="54"/>
      <c r="E181" s="54"/>
    </row>
    <row r="182">
      <c r="A182" s="53"/>
      <c r="B182" s="53"/>
      <c r="C182" s="53"/>
      <c r="D182" s="54"/>
      <c r="E182" s="54"/>
    </row>
    <row r="183">
      <c r="A183" s="53"/>
      <c r="B183" s="53"/>
      <c r="C183" s="53"/>
      <c r="D183" s="54"/>
      <c r="E183" s="54"/>
    </row>
    <row r="184">
      <c r="A184" s="53"/>
      <c r="B184" s="53"/>
      <c r="C184" s="53"/>
      <c r="D184" s="54"/>
      <c r="E184" s="54"/>
    </row>
    <row r="185">
      <c r="A185" s="53"/>
      <c r="B185" s="53"/>
      <c r="C185" s="53"/>
      <c r="D185" s="54"/>
      <c r="E185" s="54"/>
    </row>
    <row r="186">
      <c r="A186" s="53"/>
      <c r="B186" s="53"/>
      <c r="C186" s="53"/>
      <c r="D186" s="54"/>
      <c r="E186" s="54"/>
    </row>
    <row r="187">
      <c r="A187" s="53"/>
      <c r="B187" s="53"/>
      <c r="C187" s="53"/>
      <c r="D187" s="54"/>
      <c r="E187" s="54"/>
    </row>
    <row r="188">
      <c r="A188" s="53"/>
      <c r="B188" s="53"/>
      <c r="C188" s="53"/>
      <c r="D188" s="54"/>
      <c r="E188" s="54"/>
    </row>
    <row r="189">
      <c r="A189" s="53"/>
      <c r="B189" s="53"/>
      <c r="C189" s="53"/>
      <c r="D189" s="54"/>
      <c r="E189" s="54"/>
    </row>
    <row r="190">
      <c r="A190" s="53"/>
      <c r="B190" s="53"/>
      <c r="C190" s="53"/>
      <c r="D190" s="54"/>
      <c r="E190" s="54"/>
    </row>
    <row r="191">
      <c r="A191" s="53"/>
      <c r="B191" s="53"/>
      <c r="C191" s="53"/>
      <c r="D191" s="54"/>
      <c r="E191" s="54"/>
    </row>
    <row r="192">
      <c r="A192" s="53"/>
      <c r="B192" s="53"/>
      <c r="C192" s="53"/>
      <c r="D192" s="54"/>
      <c r="E192" s="54"/>
    </row>
    <row r="193">
      <c r="A193" s="53"/>
      <c r="B193" s="53"/>
      <c r="C193" s="53"/>
      <c r="D193" s="54"/>
      <c r="E193" s="54"/>
    </row>
    <row r="194">
      <c r="A194" s="53"/>
      <c r="B194" s="53"/>
      <c r="C194" s="53"/>
      <c r="D194" s="54"/>
      <c r="E194" s="54"/>
    </row>
    <row r="195">
      <c r="A195" s="53"/>
      <c r="B195" s="53"/>
      <c r="C195" s="53"/>
      <c r="D195" s="54"/>
      <c r="E195" s="54"/>
    </row>
    <row r="196">
      <c r="A196" s="53"/>
      <c r="B196" s="53"/>
      <c r="C196" s="53"/>
      <c r="D196" s="54"/>
      <c r="E196" s="54"/>
    </row>
    <row r="197">
      <c r="A197" s="53"/>
      <c r="B197" s="53"/>
      <c r="C197" s="53"/>
      <c r="D197" s="54"/>
      <c r="E197" s="54"/>
    </row>
    <row r="198">
      <c r="A198" s="53"/>
      <c r="B198" s="53"/>
      <c r="C198" s="53"/>
      <c r="D198" s="54"/>
      <c r="E198" s="54"/>
    </row>
    <row r="199">
      <c r="A199" s="53"/>
      <c r="B199" s="53"/>
      <c r="C199" s="53"/>
      <c r="D199" s="54"/>
      <c r="E199" s="54"/>
    </row>
    <row r="200">
      <c r="A200" s="53"/>
      <c r="B200" s="53"/>
      <c r="C200" s="53"/>
      <c r="D200" s="54"/>
      <c r="E200" s="54"/>
    </row>
    <row r="201">
      <c r="A201" s="53"/>
      <c r="B201" s="53"/>
      <c r="C201" s="53"/>
      <c r="D201" s="54"/>
      <c r="E201" s="54"/>
    </row>
    <row r="202">
      <c r="A202" s="53"/>
      <c r="B202" s="53"/>
      <c r="C202" s="53"/>
      <c r="D202" s="54"/>
      <c r="E202" s="54"/>
    </row>
    <row r="203">
      <c r="A203" s="53"/>
      <c r="B203" s="53"/>
      <c r="C203" s="53"/>
      <c r="D203" s="54"/>
      <c r="E203" s="54"/>
    </row>
    <row r="204">
      <c r="A204" s="53"/>
      <c r="B204" s="53"/>
      <c r="C204" s="53"/>
      <c r="D204" s="54"/>
      <c r="E204" s="54"/>
    </row>
    <row r="205">
      <c r="A205" s="53"/>
      <c r="B205" s="53"/>
      <c r="C205" s="53"/>
      <c r="D205" s="54"/>
      <c r="E205" s="54"/>
    </row>
    <row r="206">
      <c r="A206" s="53"/>
      <c r="B206" s="53"/>
      <c r="C206" s="53"/>
      <c r="D206" s="54"/>
      <c r="E206" s="54"/>
    </row>
    <row r="207">
      <c r="A207" s="53"/>
      <c r="B207" s="53"/>
      <c r="C207" s="53"/>
      <c r="D207" s="54"/>
      <c r="E207" s="54"/>
    </row>
    <row r="208">
      <c r="A208" s="53"/>
      <c r="B208" s="53"/>
      <c r="C208" s="53"/>
      <c r="D208" s="54"/>
      <c r="E208" s="54"/>
    </row>
    <row r="209">
      <c r="A209" s="53"/>
      <c r="B209" s="53"/>
      <c r="C209" s="53"/>
      <c r="D209" s="54"/>
      <c r="E209" s="54"/>
    </row>
    <row r="210">
      <c r="A210" s="53"/>
      <c r="B210" s="53"/>
      <c r="C210" s="53"/>
      <c r="D210" s="54"/>
      <c r="E210" s="54"/>
    </row>
    <row r="211">
      <c r="A211" s="53"/>
      <c r="B211" s="53"/>
      <c r="C211" s="53"/>
      <c r="D211" s="54"/>
      <c r="E211" s="54"/>
    </row>
    <row r="212">
      <c r="A212" s="53"/>
      <c r="B212" s="53"/>
      <c r="C212" s="53"/>
      <c r="D212" s="54"/>
      <c r="E212" s="54"/>
    </row>
    <row r="213">
      <c r="A213" s="53"/>
      <c r="B213" s="53"/>
      <c r="C213" s="53"/>
      <c r="D213" s="54"/>
      <c r="E213" s="54"/>
    </row>
    <row r="214">
      <c r="A214" s="53"/>
      <c r="B214" s="53"/>
      <c r="C214" s="53"/>
      <c r="D214" s="54"/>
      <c r="E214" s="54"/>
    </row>
    <row r="215">
      <c r="A215" s="53"/>
      <c r="B215" s="53"/>
      <c r="C215" s="53"/>
      <c r="D215" s="54"/>
      <c r="E215" s="54"/>
    </row>
    <row r="216">
      <c r="A216" s="53"/>
      <c r="B216" s="53"/>
      <c r="C216" s="53"/>
      <c r="D216" s="54"/>
      <c r="E216" s="54"/>
    </row>
    <row r="217">
      <c r="A217" s="53"/>
      <c r="B217" s="53"/>
      <c r="C217" s="53"/>
      <c r="D217" s="54"/>
      <c r="E217" s="54"/>
    </row>
    <row r="218">
      <c r="A218" s="53"/>
      <c r="B218" s="53"/>
      <c r="C218" s="53"/>
      <c r="D218" s="54"/>
      <c r="E218" s="54"/>
    </row>
    <row r="219">
      <c r="A219" s="53"/>
      <c r="B219" s="53"/>
      <c r="C219" s="53"/>
      <c r="D219" s="54"/>
      <c r="E219" s="54"/>
    </row>
    <row r="220">
      <c r="A220" s="53"/>
      <c r="B220" s="53"/>
      <c r="C220" s="53"/>
      <c r="D220" s="54"/>
      <c r="E220" s="54"/>
    </row>
    <row r="221">
      <c r="A221" s="53"/>
      <c r="B221" s="53"/>
      <c r="C221" s="53"/>
      <c r="D221" s="54"/>
      <c r="E221" s="54"/>
    </row>
    <row r="222">
      <c r="A222" s="53"/>
      <c r="B222" s="53"/>
      <c r="C222" s="53"/>
      <c r="D222" s="54"/>
      <c r="E222" s="54"/>
    </row>
    <row r="223">
      <c r="A223" s="53"/>
      <c r="B223" s="53"/>
      <c r="C223" s="53"/>
      <c r="D223" s="54"/>
      <c r="E223" s="54"/>
    </row>
    <row r="224">
      <c r="A224" s="53"/>
      <c r="B224" s="53"/>
      <c r="C224" s="53"/>
      <c r="D224" s="54"/>
      <c r="E224" s="54"/>
    </row>
    <row r="225">
      <c r="A225" s="53"/>
      <c r="B225" s="53"/>
      <c r="C225" s="53"/>
      <c r="D225" s="54"/>
      <c r="E225" s="54"/>
    </row>
    <row r="226">
      <c r="A226" s="53"/>
      <c r="B226" s="53"/>
      <c r="C226" s="53"/>
      <c r="D226" s="54"/>
      <c r="E226" s="54"/>
    </row>
    <row r="227">
      <c r="A227" s="53"/>
      <c r="B227" s="53"/>
      <c r="C227" s="53"/>
      <c r="D227" s="54"/>
      <c r="E227" s="54"/>
    </row>
    <row r="228">
      <c r="A228" s="53"/>
      <c r="B228" s="53"/>
      <c r="C228" s="53"/>
      <c r="D228" s="54"/>
      <c r="E228" s="54"/>
    </row>
    <row r="229">
      <c r="A229" s="53"/>
      <c r="B229" s="53"/>
      <c r="C229" s="53"/>
      <c r="D229" s="54"/>
      <c r="E229" s="54"/>
    </row>
    <row r="230">
      <c r="A230" s="53"/>
      <c r="B230" s="53"/>
      <c r="C230" s="53"/>
      <c r="D230" s="54"/>
      <c r="E230" s="54"/>
    </row>
    <row r="231">
      <c r="A231" s="53"/>
      <c r="B231" s="53"/>
      <c r="C231" s="53"/>
      <c r="D231" s="54"/>
      <c r="E231" s="54"/>
    </row>
    <row r="232">
      <c r="A232" s="53"/>
      <c r="B232" s="53"/>
      <c r="C232" s="53"/>
      <c r="D232" s="54"/>
      <c r="E232" s="54"/>
    </row>
    <row r="233">
      <c r="A233" s="53"/>
      <c r="B233" s="53"/>
      <c r="C233" s="53"/>
      <c r="D233" s="54"/>
      <c r="E233" s="54"/>
    </row>
    <row r="234">
      <c r="A234" s="53"/>
      <c r="B234" s="53"/>
      <c r="C234" s="53"/>
      <c r="D234" s="54"/>
      <c r="E234" s="54"/>
    </row>
    <row r="235">
      <c r="A235" s="53"/>
      <c r="B235" s="53"/>
      <c r="C235" s="53"/>
      <c r="D235" s="54"/>
      <c r="E235" s="54"/>
    </row>
    <row r="236">
      <c r="A236" s="53"/>
      <c r="B236" s="53"/>
      <c r="C236" s="53"/>
      <c r="D236" s="54"/>
      <c r="E236" s="54"/>
    </row>
    <row r="237">
      <c r="A237" s="53"/>
      <c r="B237" s="53"/>
      <c r="C237" s="53"/>
      <c r="D237" s="54"/>
      <c r="E237" s="54"/>
    </row>
    <row r="238">
      <c r="A238" s="53"/>
      <c r="B238" s="53"/>
      <c r="C238" s="53"/>
      <c r="D238" s="54"/>
      <c r="E238" s="54"/>
    </row>
    <row r="239">
      <c r="A239" s="53"/>
      <c r="B239" s="53"/>
      <c r="C239" s="53"/>
      <c r="D239" s="54"/>
      <c r="E239" s="54"/>
    </row>
    <row r="240">
      <c r="A240" s="53"/>
      <c r="B240" s="53"/>
      <c r="C240" s="53"/>
      <c r="D240" s="54"/>
      <c r="E240" s="54"/>
    </row>
    <row r="241">
      <c r="A241" s="53"/>
      <c r="B241" s="53"/>
      <c r="C241" s="53"/>
      <c r="D241" s="54"/>
      <c r="E241" s="54"/>
    </row>
    <row r="242">
      <c r="A242" s="53"/>
      <c r="B242" s="53"/>
      <c r="C242" s="53"/>
      <c r="D242" s="54"/>
      <c r="E242" s="54"/>
    </row>
    <row r="243">
      <c r="A243" s="53"/>
      <c r="B243" s="53"/>
      <c r="C243" s="53"/>
      <c r="D243" s="54"/>
      <c r="E243" s="54"/>
    </row>
    <row r="244">
      <c r="A244" s="53"/>
      <c r="B244" s="53"/>
      <c r="C244" s="53"/>
      <c r="D244" s="54"/>
      <c r="E244" s="54"/>
    </row>
    <row r="245">
      <c r="A245" s="53"/>
      <c r="B245" s="53"/>
      <c r="C245" s="53"/>
      <c r="D245" s="54"/>
      <c r="E245" s="54"/>
    </row>
    <row r="246">
      <c r="A246" s="53"/>
      <c r="B246" s="53"/>
      <c r="C246" s="53"/>
      <c r="D246" s="54"/>
      <c r="E246" s="54"/>
    </row>
    <row r="247">
      <c r="A247" s="53"/>
      <c r="B247" s="53"/>
      <c r="C247" s="53"/>
      <c r="D247" s="54"/>
      <c r="E247" s="54"/>
    </row>
    <row r="248">
      <c r="A248" s="53"/>
      <c r="B248" s="53"/>
      <c r="C248" s="53"/>
      <c r="D248" s="54"/>
      <c r="E248" s="54"/>
    </row>
    <row r="249">
      <c r="A249" s="53"/>
      <c r="B249" s="53"/>
      <c r="C249" s="53"/>
      <c r="D249" s="54"/>
      <c r="E249" s="54"/>
    </row>
    <row r="250">
      <c r="A250" s="53"/>
      <c r="B250" s="53"/>
      <c r="C250" s="53"/>
      <c r="D250" s="54"/>
      <c r="E250" s="54"/>
    </row>
    <row r="251">
      <c r="A251" s="53"/>
      <c r="B251" s="53"/>
      <c r="C251" s="53"/>
      <c r="D251" s="54"/>
      <c r="E251" s="54"/>
    </row>
    <row r="252">
      <c r="A252" s="53"/>
      <c r="B252" s="53"/>
      <c r="C252" s="53"/>
      <c r="D252" s="54"/>
      <c r="E252" s="54"/>
    </row>
    <row r="253">
      <c r="A253" s="53"/>
      <c r="B253" s="53"/>
      <c r="C253" s="53"/>
      <c r="D253" s="54"/>
      <c r="E253" s="54"/>
    </row>
    <row r="254">
      <c r="A254" s="53"/>
      <c r="B254" s="53"/>
      <c r="C254" s="53"/>
      <c r="D254" s="54"/>
      <c r="E254" s="54"/>
    </row>
    <row r="255">
      <c r="A255" s="53"/>
      <c r="B255" s="53"/>
      <c r="C255" s="53"/>
      <c r="D255" s="54"/>
      <c r="E255" s="54"/>
    </row>
    <row r="256">
      <c r="A256" s="53"/>
      <c r="B256" s="53"/>
      <c r="C256" s="53"/>
      <c r="D256" s="54"/>
      <c r="E256" s="54"/>
    </row>
    <row r="257">
      <c r="A257" s="53"/>
      <c r="B257" s="53"/>
      <c r="C257" s="53"/>
      <c r="D257" s="54"/>
      <c r="E257" s="54"/>
    </row>
    <row r="258">
      <c r="A258" s="53"/>
      <c r="B258" s="53"/>
      <c r="C258" s="53"/>
      <c r="D258" s="54"/>
      <c r="E258" s="54"/>
    </row>
    <row r="259">
      <c r="A259" s="53"/>
      <c r="B259" s="53"/>
      <c r="C259" s="53"/>
      <c r="D259" s="54"/>
      <c r="E259" s="54"/>
    </row>
    <row r="260">
      <c r="A260" s="53"/>
      <c r="B260" s="53"/>
      <c r="C260" s="53"/>
      <c r="D260" s="54"/>
      <c r="E260" s="54"/>
    </row>
    <row r="261">
      <c r="A261" s="53"/>
      <c r="B261" s="53"/>
      <c r="C261" s="53"/>
      <c r="D261" s="54"/>
      <c r="E261" s="54"/>
    </row>
    <row r="262">
      <c r="A262" s="53"/>
      <c r="B262" s="53"/>
      <c r="C262" s="53"/>
      <c r="D262" s="54"/>
      <c r="E262" s="54"/>
    </row>
    <row r="263">
      <c r="A263" s="53"/>
      <c r="B263" s="53"/>
      <c r="C263" s="53"/>
      <c r="D263" s="54"/>
      <c r="E263" s="54"/>
    </row>
    <row r="264">
      <c r="A264" s="53"/>
      <c r="B264" s="53"/>
      <c r="C264" s="53"/>
      <c r="D264" s="54"/>
      <c r="E264" s="54"/>
    </row>
    <row r="265">
      <c r="A265" s="53"/>
      <c r="B265" s="53"/>
      <c r="C265" s="53"/>
      <c r="D265" s="54"/>
      <c r="E265" s="54"/>
    </row>
    <row r="266">
      <c r="A266" s="53"/>
      <c r="B266" s="53"/>
      <c r="C266" s="53"/>
      <c r="D266" s="54"/>
      <c r="E266" s="54"/>
    </row>
    <row r="267">
      <c r="A267" s="53"/>
      <c r="B267" s="53"/>
      <c r="C267" s="53"/>
      <c r="D267" s="54"/>
      <c r="E267" s="54"/>
    </row>
    <row r="268">
      <c r="A268" s="53"/>
      <c r="B268" s="53"/>
      <c r="C268" s="53"/>
      <c r="D268" s="54"/>
      <c r="E268" s="54"/>
    </row>
    <row r="269">
      <c r="A269" s="53"/>
      <c r="B269" s="53"/>
      <c r="C269" s="53"/>
      <c r="D269" s="54"/>
      <c r="E269" s="54"/>
    </row>
    <row r="270">
      <c r="A270" s="53"/>
      <c r="B270" s="53"/>
      <c r="C270" s="53"/>
      <c r="D270" s="54"/>
      <c r="E270" s="54"/>
    </row>
    <row r="271">
      <c r="A271" s="53"/>
      <c r="B271" s="53"/>
      <c r="C271" s="53"/>
      <c r="D271" s="54"/>
      <c r="E271" s="54"/>
    </row>
    <row r="272">
      <c r="A272" s="53"/>
      <c r="B272" s="53"/>
      <c r="C272" s="53"/>
      <c r="D272" s="54"/>
      <c r="E272" s="54"/>
    </row>
    <row r="273">
      <c r="A273" s="53"/>
      <c r="B273" s="53"/>
      <c r="C273" s="53"/>
      <c r="D273" s="54"/>
      <c r="E273" s="54"/>
    </row>
    <row r="274">
      <c r="A274" s="53"/>
      <c r="B274" s="53"/>
      <c r="C274" s="53"/>
      <c r="D274" s="54"/>
      <c r="E274" s="54"/>
    </row>
    <row r="275">
      <c r="A275" s="53"/>
      <c r="B275" s="53"/>
      <c r="C275" s="53"/>
      <c r="D275" s="54"/>
      <c r="E275" s="54"/>
    </row>
    <row r="276">
      <c r="A276" s="53"/>
      <c r="B276" s="53"/>
      <c r="C276" s="53"/>
      <c r="D276" s="54"/>
      <c r="E276" s="54"/>
    </row>
    <row r="277">
      <c r="A277" s="53"/>
      <c r="B277" s="53"/>
      <c r="C277" s="53"/>
      <c r="D277" s="54"/>
      <c r="E277" s="54"/>
    </row>
    <row r="278">
      <c r="A278" s="53"/>
      <c r="B278" s="53"/>
      <c r="C278" s="53"/>
      <c r="D278" s="54"/>
      <c r="E278" s="54"/>
    </row>
    <row r="279">
      <c r="A279" s="53"/>
      <c r="B279" s="53"/>
      <c r="C279" s="53"/>
      <c r="D279" s="54"/>
      <c r="E279" s="54"/>
    </row>
    <row r="280">
      <c r="A280" s="53"/>
      <c r="B280" s="53"/>
      <c r="C280" s="53"/>
      <c r="D280" s="54"/>
      <c r="E280" s="54"/>
    </row>
    <row r="281">
      <c r="A281" s="53"/>
      <c r="B281" s="53"/>
      <c r="C281" s="53"/>
      <c r="D281" s="54"/>
      <c r="E281" s="54"/>
    </row>
    <row r="282">
      <c r="A282" s="53"/>
      <c r="B282" s="53"/>
      <c r="C282" s="53"/>
      <c r="D282" s="54"/>
      <c r="E282" s="54"/>
    </row>
    <row r="283">
      <c r="A283" s="53"/>
      <c r="B283" s="53"/>
      <c r="C283" s="53"/>
      <c r="D283" s="54"/>
      <c r="E283" s="54"/>
    </row>
    <row r="284">
      <c r="A284" s="53"/>
      <c r="B284" s="53"/>
      <c r="C284" s="53"/>
      <c r="D284" s="54"/>
      <c r="E284" s="54"/>
    </row>
    <row r="285">
      <c r="A285" s="53"/>
      <c r="B285" s="53"/>
      <c r="C285" s="53"/>
      <c r="D285" s="54"/>
      <c r="E285" s="54"/>
    </row>
    <row r="286">
      <c r="A286" s="53"/>
      <c r="B286" s="53"/>
      <c r="C286" s="53"/>
      <c r="D286" s="54"/>
      <c r="E286" s="54"/>
    </row>
    <row r="287">
      <c r="A287" s="53"/>
      <c r="B287" s="53"/>
      <c r="C287" s="53"/>
      <c r="D287" s="54"/>
      <c r="E287" s="54"/>
    </row>
    <row r="288">
      <c r="A288" s="53"/>
      <c r="B288" s="53"/>
      <c r="C288" s="53"/>
      <c r="D288" s="54"/>
      <c r="E288" s="54"/>
    </row>
    <row r="289">
      <c r="A289" s="53"/>
      <c r="B289" s="53"/>
      <c r="C289" s="53"/>
      <c r="D289" s="54"/>
      <c r="E289" s="54"/>
    </row>
    <row r="290">
      <c r="A290" s="53"/>
      <c r="B290" s="53"/>
      <c r="C290" s="53"/>
      <c r="D290" s="54"/>
      <c r="E290" s="54"/>
    </row>
    <row r="291">
      <c r="A291" s="53"/>
      <c r="B291" s="53"/>
      <c r="C291" s="53"/>
      <c r="D291" s="54"/>
      <c r="E291" s="54"/>
    </row>
    <row r="292">
      <c r="A292" s="53"/>
      <c r="B292" s="53"/>
      <c r="C292" s="53"/>
      <c r="D292" s="54"/>
      <c r="E292" s="54"/>
    </row>
    <row r="293">
      <c r="A293" s="53"/>
      <c r="B293" s="53"/>
      <c r="C293" s="53"/>
      <c r="D293" s="54"/>
      <c r="E293" s="54"/>
    </row>
    <row r="294">
      <c r="A294" s="53"/>
      <c r="B294" s="53"/>
      <c r="C294" s="53"/>
      <c r="D294" s="54"/>
      <c r="E294" s="54"/>
    </row>
    <row r="295">
      <c r="A295" s="53"/>
      <c r="B295" s="53"/>
      <c r="C295" s="53"/>
      <c r="D295" s="54"/>
      <c r="E295" s="54"/>
    </row>
    <row r="296">
      <c r="A296" s="53"/>
      <c r="B296" s="53"/>
      <c r="C296" s="53"/>
      <c r="D296" s="54"/>
      <c r="E296" s="54"/>
    </row>
    <row r="297">
      <c r="A297" s="53"/>
      <c r="B297" s="53"/>
      <c r="C297" s="53"/>
      <c r="D297" s="54"/>
      <c r="E297" s="54"/>
    </row>
    <row r="298">
      <c r="A298" s="53"/>
      <c r="B298" s="53"/>
      <c r="C298" s="53"/>
      <c r="D298" s="54"/>
      <c r="E298" s="54"/>
    </row>
    <row r="299">
      <c r="A299" s="53"/>
      <c r="B299" s="53"/>
      <c r="C299" s="53"/>
      <c r="D299" s="54"/>
      <c r="E299" s="54"/>
    </row>
    <row r="300">
      <c r="A300" s="53"/>
      <c r="B300" s="53"/>
      <c r="C300" s="53"/>
      <c r="D300" s="54"/>
      <c r="E300" s="54"/>
    </row>
    <row r="301">
      <c r="A301" s="53"/>
      <c r="B301" s="53"/>
      <c r="C301" s="53"/>
      <c r="D301" s="54"/>
      <c r="E301" s="54"/>
    </row>
    <row r="302">
      <c r="A302" s="53"/>
      <c r="B302" s="53"/>
      <c r="C302" s="53"/>
      <c r="D302" s="54"/>
      <c r="E302" s="54"/>
    </row>
    <row r="303">
      <c r="A303" s="53"/>
      <c r="B303" s="53"/>
      <c r="C303" s="53"/>
      <c r="D303" s="54"/>
      <c r="E303" s="54"/>
    </row>
    <row r="304">
      <c r="A304" s="53"/>
      <c r="B304" s="53"/>
      <c r="C304" s="53"/>
      <c r="D304" s="54"/>
      <c r="E304" s="54"/>
    </row>
    <row r="305">
      <c r="A305" s="53"/>
      <c r="B305" s="53"/>
      <c r="C305" s="53"/>
      <c r="D305" s="54"/>
      <c r="E305" s="54"/>
    </row>
    <row r="306">
      <c r="A306" s="53"/>
      <c r="B306" s="53"/>
      <c r="C306" s="53"/>
      <c r="D306" s="54"/>
      <c r="E306" s="54"/>
    </row>
    <row r="307">
      <c r="A307" s="53"/>
      <c r="B307" s="53"/>
      <c r="C307" s="53"/>
      <c r="D307" s="54"/>
      <c r="E307" s="54"/>
    </row>
    <row r="308">
      <c r="A308" s="53"/>
      <c r="B308" s="53"/>
      <c r="C308" s="53"/>
      <c r="D308" s="54"/>
      <c r="E308" s="54"/>
    </row>
    <row r="309">
      <c r="A309" s="53"/>
      <c r="B309" s="53"/>
      <c r="C309" s="53"/>
      <c r="D309" s="54"/>
      <c r="E309" s="54"/>
    </row>
    <row r="310">
      <c r="A310" s="53"/>
      <c r="B310" s="53"/>
      <c r="C310" s="53"/>
      <c r="D310" s="54"/>
      <c r="E310" s="54"/>
    </row>
    <row r="311">
      <c r="A311" s="53"/>
      <c r="B311" s="53"/>
      <c r="C311" s="53"/>
      <c r="D311" s="54"/>
      <c r="E311" s="54"/>
    </row>
    <row r="312">
      <c r="A312" s="53"/>
      <c r="B312" s="53"/>
      <c r="C312" s="53"/>
      <c r="D312" s="54"/>
      <c r="E312" s="54"/>
    </row>
    <row r="313">
      <c r="A313" s="53"/>
      <c r="B313" s="53"/>
      <c r="C313" s="53"/>
      <c r="D313" s="54"/>
      <c r="E313" s="54"/>
    </row>
    <row r="314">
      <c r="A314" s="53"/>
      <c r="B314" s="53"/>
      <c r="C314" s="53"/>
      <c r="D314" s="54"/>
      <c r="E314" s="54"/>
    </row>
    <row r="315">
      <c r="A315" s="53"/>
      <c r="B315" s="53"/>
      <c r="C315" s="53"/>
      <c r="D315" s="54"/>
      <c r="E315" s="54"/>
    </row>
    <row r="316">
      <c r="A316" s="53"/>
      <c r="B316" s="53"/>
      <c r="C316" s="53"/>
      <c r="D316" s="54"/>
      <c r="E316" s="54"/>
    </row>
    <row r="317">
      <c r="A317" s="53"/>
      <c r="B317" s="53"/>
      <c r="C317" s="53"/>
      <c r="D317" s="54"/>
      <c r="E317" s="54"/>
    </row>
    <row r="318">
      <c r="A318" s="53"/>
      <c r="B318" s="53"/>
      <c r="C318" s="53"/>
      <c r="D318" s="54"/>
      <c r="E318" s="54"/>
    </row>
    <row r="319">
      <c r="A319" s="53"/>
      <c r="B319" s="53"/>
      <c r="C319" s="53"/>
      <c r="D319" s="54"/>
      <c r="E319" s="54"/>
    </row>
    <row r="320">
      <c r="A320" s="53"/>
      <c r="B320" s="53"/>
      <c r="C320" s="53"/>
      <c r="D320" s="54"/>
      <c r="E320" s="54"/>
    </row>
    <row r="321">
      <c r="A321" s="53"/>
      <c r="B321" s="53"/>
      <c r="C321" s="53"/>
      <c r="D321" s="54"/>
      <c r="E321" s="54"/>
    </row>
    <row r="322">
      <c r="A322" s="53"/>
      <c r="B322" s="53"/>
      <c r="C322" s="53"/>
      <c r="D322" s="54"/>
      <c r="E322" s="54"/>
    </row>
    <row r="323">
      <c r="A323" s="53"/>
      <c r="B323" s="53"/>
      <c r="C323" s="53"/>
      <c r="D323" s="54"/>
      <c r="E323" s="54"/>
    </row>
    <row r="324">
      <c r="A324" s="53"/>
      <c r="B324" s="53"/>
      <c r="C324" s="53"/>
      <c r="D324" s="54"/>
      <c r="E324" s="54"/>
    </row>
    <row r="325">
      <c r="A325" s="53"/>
      <c r="B325" s="53"/>
      <c r="C325" s="53"/>
      <c r="D325" s="54"/>
      <c r="E325" s="54"/>
    </row>
    <row r="326">
      <c r="A326" s="53"/>
      <c r="B326" s="53"/>
      <c r="C326" s="53"/>
      <c r="D326" s="54"/>
      <c r="E326" s="54"/>
    </row>
    <row r="327">
      <c r="A327" s="53"/>
      <c r="B327" s="53"/>
      <c r="C327" s="53"/>
      <c r="D327" s="54"/>
      <c r="E327" s="54"/>
    </row>
    <row r="328">
      <c r="A328" s="53"/>
      <c r="B328" s="53"/>
      <c r="C328" s="53"/>
      <c r="D328" s="54"/>
      <c r="E328" s="54"/>
    </row>
    <row r="329">
      <c r="A329" s="53"/>
      <c r="B329" s="53"/>
      <c r="C329" s="53"/>
      <c r="D329" s="54"/>
      <c r="E329" s="54"/>
    </row>
    <row r="330">
      <c r="A330" s="53"/>
      <c r="B330" s="53"/>
      <c r="C330" s="53"/>
      <c r="D330" s="54"/>
      <c r="E330" s="54"/>
    </row>
    <row r="331">
      <c r="A331" s="53"/>
      <c r="B331" s="53"/>
      <c r="C331" s="53"/>
      <c r="D331" s="54"/>
      <c r="E331" s="54"/>
    </row>
    <row r="332">
      <c r="A332" s="53"/>
      <c r="B332" s="53"/>
      <c r="C332" s="53"/>
      <c r="D332" s="54"/>
      <c r="E332" s="54"/>
    </row>
    <row r="333">
      <c r="A333" s="53"/>
      <c r="B333" s="53"/>
      <c r="C333" s="53"/>
      <c r="D333" s="54"/>
      <c r="E333" s="54"/>
    </row>
    <row r="334">
      <c r="A334" s="53"/>
      <c r="B334" s="53"/>
      <c r="C334" s="53"/>
      <c r="D334" s="54"/>
      <c r="E334" s="54"/>
    </row>
    <row r="335">
      <c r="A335" s="53"/>
      <c r="B335" s="53"/>
      <c r="C335" s="53"/>
      <c r="D335" s="54"/>
      <c r="E335" s="54"/>
    </row>
    <row r="336">
      <c r="A336" s="53"/>
      <c r="B336" s="53"/>
      <c r="C336" s="53"/>
      <c r="D336" s="54"/>
      <c r="E336" s="54"/>
    </row>
    <row r="337">
      <c r="A337" s="53"/>
      <c r="B337" s="53"/>
      <c r="C337" s="53"/>
      <c r="D337" s="54"/>
      <c r="E337" s="54"/>
    </row>
    <row r="338">
      <c r="A338" s="53"/>
      <c r="B338" s="53"/>
      <c r="C338" s="53"/>
      <c r="D338" s="54"/>
      <c r="E338" s="54"/>
    </row>
    <row r="339">
      <c r="A339" s="53"/>
      <c r="B339" s="53"/>
      <c r="C339" s="53"/>
      <c r="D339" s="54"/>
      <c r="E339" s="54"/>
    </row>
    <row r="340">
      <c r="A340" s="53"/>
      <c r="B340" s="53"/>
      <c r="C340" s="53"/>
      <c r="D340" s="54"/>
      <c r="E340" s="54"/>
    </row>
    <row r="341">
      <c r="A341" s="53"/>
      <c r="B341" s="53"/>
      <c r="C341" s="53"/>
      <c r="D341" s="54"/>
      <c r="E341" s="54"/>
    </row>
    <row r="342">
      <c r="A342" s="53"/>
      <c r="B342" s="53"/>
      <c r="C342" s="53"/>
      <c r="D342" s="54"/>
      <c r="E342" s="54"/>
    </row>
    <row r="343">
      <c r="A343" s="53"/>
      <c r="B343" s="53"/>
      <c r="C343" s="53"/>
      <c r="D343" s="54"/>
      <c r="E343" s="54"/>
    </row>
    <row r="344">
      <c r="A344" s="53"/>
      <c r="B344" s="53"/>
      <c r="C344" s="53"/>
      <c r="D344" s="54"/>
      <c r="E344" s="54"/>
    </row>
    <row r="345">
      <c r="A345" s="53"/>
      <c r="B345" s="53"/>
      <c r="C345" s="53"/>
      <c r="D345" s="54"/>
      <c r="E345" s="54"/>
    </row>
    <row r="346">
      <c r="A346" s="53"/>
      <c r="B346" s="53"/>
      <c r="C346" s="53"/>
      <c r="D346" s="54"/>
      <c r="E346" s="54"/>
    </row>
    <row r="347">
      <c r="A347" s="53"/>
      <c r="B347" s="53"/>
      <c r="C347" s="53"/>
      <c r="D347" s="54"/>
      <c r="E347" s="54"/>
    </row>
    <row r="348">
      <c r="A348" s="53"/>
      <c r="B348" s="53"/>
      <c r="C348" s="53"/>
      <c r="D348" s="54"/>
      <c r="E348" s="54"/>
    </row>
    <row r="349">
      <c r="A349" s="53"/>
      <c r="B349" s="53"/>
      <c r="C349" s="53"/>
      <c r="D349" s="54"/>
      <c r="E349" s="54"/>
    </row>
    <row r="350">
      <c r="A350" s="53"/>
      <c r="B350" s="53"/>
      <c r="C350" s="53"/>
      <c r="D350" s="54"/>
      <c r="E350" s="54"/>
    </row>
    <row r="351">
      <c r="A351" s="53"/>
      <c r="B351" s="53"/>
      <c r="C351" s="53"/>
      <c r="D351" s="54"/>
      <c r="E351" s="54"/>
    </row>
    <row r="352">
      <c r="A352" s="53"/>
      <c r="B352" s="53"/>
      <c r="C352" s="53"/>
      <c r="D352" s="54"/>
      <c r="E352" s="54"/>
    </row>
    <row r="353">
      <c r="A353" s="53"/>
      <c r="B353" s="53"/>
      <c r="C353" s="53"/>
      <c r="D353" s="54"/>
      <c r="E353" s="54"/>
    </row>
    <row r="354">
      <c r="A354" s="53"/>
      <c r="B354" s="53"/>
      <c r="C354" s="53"/>
      <c r="D354" s="54"/>
      <c r="E354" s="54"/>
    </row>
    <row r="355">
      <c r="A355" s="53"/>
      <c r="B355" s="53"/>
      <c r="C355" s="53"/>
      <c r="D355" s="54"/>
      <c r="E355" s="54"/>
    </row>
    <row r="356">
      <c r="A356" s="53"/>
      <c r="B356" s="53"/>
      <c r="C356" s="53"/>
      <c r="D356" s="54"/>
      <c r="E356" s="54"/>
    </row>
    <row r="357">
      <c r="A357" s="53"/>
      <c r="B357" s="53"/>
      <c r="C357" s="53"/>
      <c r="D357" s="54"/>
      <c r="E357" s="54"/>
    </row>
    <row r="358">
      <c r="A358" s="53"/>
      <c r="B358" s="53"/>
      <c r="C358" s="53"/>
      <c r="D358" s="54"/>
      <c r="E358" s="54"/>
    </row>
    <row r="359">
      <c r="A359" s="53"/>
      <c r="B359" s="53"/>
      <c r="C359" s="53"/>
      <c r="D359" s="54"/>
      <c r="E359" s="54"/>
    </row>
    <row r="360">
      <c r="A360" s="53"/>
      <c r="B360" s="53"/>
      <c r="C360" s="53"/>
      <c r="D360" s="54"/>
      <c r="E360" s="54"/>
    </row>
    <row r="361">
      <c r="A361" s="53"/>
      <c r="B361" s="53"/>
      <c r="C361" s="53"/>
      <c r="D361" s="54"/>
      <c r="E361" s="54"/>
    </row>
    <row r="362">
      <c r="A362" s="53"/>
      <c r="B362" s="53"/>
      <c r="C362" s="53"/>
      <c r="D362" s="54"/>
      <c r="E362" s="54"/>
    </row>
    <row r="363">
      <c r="A363" s="53"/>
      <c r="B363" s="53"/>
      <c r="C363" s="53"/>
      <c r="D363" s="54"/>
      <c r="E363" s="54"/>
    </row>
    <row r="364">
      <c r="A364" s="53"/>
      <c r="B364" s="53"/>
      <c r="C364" s="53"/>
      <c r="D364" s="54"/>
      <c r="E364" s="54"/>
    </row>
    <row r="365">
      <c r="A365" s="53"/>
      <c r="B365" s="53"/>
      <c r="C365" s="53"/>
      <c r="D365" s="54"/>
      <c r="E365" s="54"/>
    </row>
    <row r="366">
      <c r="A366" s="53"/>
      <c r="B366" s="53"/>
      <c r="C366" s="53"/>
      <c r="D366" s="54"/>
      <c r="E366" s="54"/>
    </row>
    <row r="367">
      <c r="A367" s="53"/>
      <c r="B367" s="53"/>
      <c r="C367" s="53"/>
      <c r="D367" s="54"/>
      <c r="E367" s="54"/>
    </row>
    <row r="368">
      <c r="A368" s="53"/>
      <c r="B368" s="53"/>
      <c r="C368" s="53"/>
      <c r="D368" s="54"/>
      <c r="E368" s="54"/>
    </row>
    <row r="369">
      <c r="A369" s="53"/>
      <c r="B369" s="53"/>
      <c r="C369" s="53"/>
      <c r="D369" s="54"/>
      <c r="E369" s="54"/>
    </row>
    <row r="370">
      <c r="A370" s="53"/>
      <c r="B370" s="53"/>
      <c r="C370" s="53"/>
      <c r="D370" s="54"/>
      <c r="E370" s="54"/>
    </row>
    <row r="371">
      <c r="A371" s="53"/>
      <c r="B371" s="53"/>
      <c r="C371" s="53"/>
      <c r="D371" s="54"/>
      <c r="E371" s="54"/>
    </row>
    <row r="372">
      <c r="A372" s="53"/>
      <c r="B372" s="53"/>
      <c r="C372" s="53"/>
      <c r="D372" s="54"/>
      <c r="E372" s="54"/>
    </row>
    <row r="373">
      <c r="A373" s="53"/>
      <c r="B373" s="53"/>
      <c r="C373" s="53"/>
      <c r="D373" s="54"/>
      <c r="E373" s="54"/>
    </row>
    <row r="374">
      <c r="A374" s="53"/>
      <c r="B374" s="53"/>
      <c r="C374" s="53"/>
      <c r="D374" s="54"/>
      <c r="E374" s="54"/>
    </row>
    <row r="375">
      <c r="A375" s="53"/>
      <c r="B375" s="53"/>
      <c r="C375" s="53"/>
      <c r="D375" s="54"/>
      <c r="E375" s="54"/>
    </row>
    <row r="376">
      <c r="A376" s="53"/>
      <c r="B376" s="53"/>
      <c r="C376" s="53"/>
      <c r="D376" s="54"/>
      <c r="E376" s="54"/>
    </row>
    <row r="377">
      <c r="A377" s="53"/>
      <c r="B377" s="53"/>
      <c r="C377" s="53"/>
      <c r="D377" s="54"/>
      <c r="E377" s="54"/>
    </row>
    <row r="378">
      <c r="A378" s="53"/>
      <c r="B378" s="53"/>
      <c r="C378" s="53"/>
      <c r="D378" s="54"/>
      <c r="E378" s="54"/>
    </row>
    <row r="379">
      <c r="A379" s="53"/>
      <c r="B379" s="53"/>
      <c r="C379" s="53"/>
      <c r="D379" s="54"/>
      <c r="E379" s="54"/>
    </row>
    <row r="380">
      <c r="A380" s="53"/>
      <c r="B380" s="53"/>
      <c r="C380" s="53"/>
      <c r="D380" s="54"/>
      <c r="E380" s="54"/>
    </row>
    <row r="381">
      <c r="A381" s="53"/>
      <c r="B381" s="53"/>
      <c r="C381" s="53"/>
      <c r="D381" s="54"/>
      <c r="E381" s="54"/>
    </row>
    <row r="382">
      <c r="A382" s="53"/>
      <c r="B382" s="53"/>
      <c r="C382" s="53"/>
      <c r="D382" s="54"/>
      <c r="E382" s="54"/>
    </row>
    <row r="383">
      <c r="A383" s="53"/>
      <c r="B383" s="53"/>
      <c r="C383" s="53"/>
      <c r="D383" s="54"/>
      <c r="E383" s="54"/>
    </row>
    <row r="384">
      <c r="A384" s="53"/>
      <c r="B384" s="53"/>
      <c r="C384" s="53"/>
      <c r="D384" s="54"/>
      <c r="E384" s="54"/>
    </row>
    <row r="385">
      <c r="A385" s="53"/>
      <c r="B385" s="53"/>
      <c r="C385" s="53"/>
      <c r="D385" s="54"/>
      <c r="E385" s="54"/>
    </row>
    <row r="386">
      <c r="A386" s="53"/>
      <c r="B386" s="53"/>
      <c r="C386" s="53"/>
      <c r="D386" s="54"/>
      <c r="E386" s="54"/>
    </row>
    <row r="387">
      <c r="A387" s="53"/>
      <c r="B387" s="53"/>
      <c r="C387" s="53"/>
      <c r="D387" s="54"/>
      <c r="E387" s="54"/>
    </row>
    <row r="388">
      <c r="A388" s="53"/>
      <c r="B388" s="53"/>
      <c r="C388" s="53"/>
      <c r="D388" s="54"/>
      <c r="E388" s="54"/>
    </row>
    <row r="389">
      <c r="A389" s="53"/>
      <c r="B389" s="53"/>
      <c r="C389" s="53"/>
      <c r="D389" s="54"/>
      <c r="E389" s="54"/>
    </row>
    <row r="390">
      <c r="A390" s="53"/>
      <c r="B390" s="53"/>
      <c r="C390" s="53"/>
      <c r="D390" s="54"/>
      <c r="E390" s="54"/>
    </row>
    <row r="391">
      <c r="A391" s="53"/>
      <c r="B391" s="53"/>
      <c r="C391" s="53"/>
      <c r="D391" s="54"/>
      <c r="E391" s="54"/>
    </row>
    <row r="392">
      <c r="A392" s="53"/>
      <c r="B392" s="53"/>
      <c r="C392" s="53"/>
      <c r="D392" s="54"/>
      <c r="E392" s="54"/>
    </row>
    <row r="393">
      <c r="A393" s="53"/>
      <c r="B393" s="53"/>
      <c r="C393" s="53"/>
      <c r="D393" s="54"/>
      <c r="E393" s="54"/>
    </row>
    <row r="394">
      <c r="A394" s="53"/>
      <c r="B394" s="53"/>
      <c r="C394" s="53"/>
      <c r="D394" s="54"/>
      <c r="E394" s="54"/>
    </row>
    <row r="395">
      <c r="A395" s="53"/>
      <c r="B395" s="53"/>
      <c r="C395" s="53"/>
      <c r="D395" s="54"/>
      <c r="E395" s="54"/>
    </row>
    <row r="396">
      <c r="A396" s="53"/>
      <c r="B396" s="53"/>
      <c r="C396" s="53"/>
      <c r="D396" s="54"/>
      <c r="E396" s="54"/>
    </row>
    <row r="397">
      <c r="A397" s="53"/>
      <c r="B397" s="53"/>
      <c r="C397" s="53"/>
      <c r="D397" s="54"/>
      <c r="E397" s="54"/>
    </row>
    <row r="398">
      <c r="A398" s="53"/>
      <c r="B398" s="53"/>
      <c r="C398" s="53"/>
      <c r="D398" s="54"/>
      <c r="E398" s="54"/>
    </row>
    <row r="399">
      <c r="A399" s="53"/>
      <c r="B399" s="53"/>
      <c r="C399" s="53"/>
      <c r="D399" s="54"/>
      <c r="E399" s="54"/>
    </row>
    <row r="400">
      <c r="A400" s="53"/>
      <c r="B400" s="53"/>
      <c r="C400" s="53"/>
      <c r="D400" s="54"/>
      <c r="E400" s="54"/>
    </row>
    <row r="401">
      <c r="A401" s="53"/>
      <c r="B401" s="53"/>
      <c r="C401" s="53"/>
      <c r="D401" s="54"/>
      <c r="E401" s="54"/>
    </row>
    <row r="402">
      <c r="A402" s="53"/>
      <c r="B402" s="53"/>
      <c r="C402" s="53"/>
      <c r="D402" s="54"/>
      <c r="E402" s="54"/>
    </row>
    <row r="403">
      <c r="A403" s="53"/>
      <c r="B403" s="53"/>
      <c r="C403" s="53"/>
      <c r="D403" s="54"/>
      <c r="E403" s="54"/>
    </row>
    <row r="404">
      <c r="A404" s="53"/>
      <c r="B404" s="53"/>
      <c r="C404" s="53"/>
      <c r="D404" s="54"/>
      <c r="E404" s="54"/>
    </row>
    <row r="405">
      <c r="A405" s="53"/>
      <c r="B405" s="53"/>
      <c r="C405" s="53"/>
      <c r="D405" s="54"/>
      <c r="E405" s="54"/>
    </row>
    <row r="406">
      <c r="A406" s="53"/>
      <c r="B406" s="53"/>
      <c r="C406" s="53"/>
      <c r="D406" s="54"/>
      <c r="E406" s="54"/>
    </row>
    <row r="407">
      <c r="A407" s="53"/>
      <c r="B407" s="53"/>
      <c r="C407" s="53"/>
      <c r="D407" s="54"/>
      <c r="E407" s="54"/>
    </row>
    <row r="408">
      <c r="A408" s="53"/>
      <c r="B408" s="53"/>
      <c r="C408" s="53"/>
      <c r="D408" s="54"/>
      <c r="E408" s="54"/>
    </row>
    <row r="409">
      <c r="A409" s="53"/>
      <c r="B409" s="53"/>
      <c r="C409" s="53"/>
      <c r="D409" s="54"/>
      <c r="E409" s="54"/>
    </row>
    <row r="410">
      <c r="A410" s="53"/>
      <c r="B410" s="53"/>
      <c r="C410" s="53"/>
      <c r="D410" s="54"/>
      <c r="E410" s="54"/>
    </row>
    <row r="411">
      <c r="A411" s="53"/>
      <c r="B411" s="53"/>
      <c r="C411" s="53"/>
      <c r="D411" s="54"/>
      <c r="E411" s="54"/>
    </row>
    <row r="412">
      <c r="A412" s="53"/>
      <c r="B412" s="53"/>
      <c r="C412" s="53"/>
      <c r="D412" s="54"/>
      <c r="E412" s="54"/>
    </row>
    <row r="413">
      <c r="A413" s="53"/>
      <c r="B413" s="53"/>
      <c r="C413" s="53"/>
      <c r="D413" s="54"/>
      <c r="E413" s="54"/>
    </row>
    <row r="414">
      <c r="A414" s="53"/>
      <c r="B414" s="53"/>
      <c r="C414" s="53"/>
      <c r="D414" s="54"/>
      <c r="E414" s="54"/>
    </row>
    <row r="415">
      <c r="A415" s="53"/>
      <c r="B415" s="53"/>
      <c r="C415" s="53"/>
      <c r="D415" s="54"/>
      <c r="E415" s="54"/>
    </row>
    <row r="416">
      <c r="A416" s="53"/>
      <c r="B416" s="53"/>
      <c r="C416" s="53"/>
      <c r="D416" s="54"/>
      <c r="E416" s="54"/>
    </row>
    <row r="417">
      <c r="A417" s="53"/>
      <c r="B417" s="53"/>
      <c r="C417" s="53"/>
      <c r="D417" s="54"/>
      <c r="E417" s="54"/>
    </row>
    <row r="418">
      <c r="A418" s="53"/>
      <c r="B418" s="53"/>
      <c r="C418" s="53"/>
      <c r="D418" s="54"/>
      <c r="E418" s="54"/>
    </row>
    <row r="419">
      <c r="A419" s="53"/>
      <c r="B419" s="53"/>
      <c r="C419" s="53"/>
      <c r="D419" s="54"/>
      <c r="E419" s="54"/>
    </row>
    <row r="420">
      <c r="A420" s="53"/>
      <c r="B420" s="53"/>
      <c r="C420" s="53"/>
      <c r="D420" s="54"/>
      <c r="E420" s="54"/>
    </row>
    <row r="421">
      <c r="A421" s="53"/>
      <c r="B421" s="53"/>
      <c r="C421" s="53"/>
      <c r="D421" s="54"/>
      <c r="E421" s="54"/>
    </row>
    <row r="422">
      <c r="A422" s="53"/>
      <c r="B422" s="53"/>
      <c r="C422" s="53"/>
      <c r="D422" s="54"/>
      <c r="E422" s="54"/>
    </row>
    <row r="423">
      <c r="A423" s="53"/>
      <c r="B423" s="53"/>
      <c r="C423" s="53"/>
      <c r="D423" s="54"/>
      <c r="E423" s="54"/>
    </row>
    <row r="424">
      <c r="A424" s="53"/>
      <c r="B424" s="53"/>
      <c r="C424" s="53"/>
      <c r="D424" s="54"/>
      <c r="E424" s="54"/>
    </row>
    <row r="425">
      <c r="A425" s="53"/>
      <c r="B425" s="53"/>
      <c r="C425" s="53"/>
      <c r="D425" s="54"/>
      <c r="E425" s="54"/>
    </row>
    <row r="426">
      <c r="A426" s="53"/>
      <c r="B426" s="53"/>
      <c r="C426" s="53"/>
      <c r="D426" s="54"/>
      <c r="E426" s="54"/>
    </row>
    <row r="427">
      <c r="A427" s="53"/>
      <c r="B427" s="53"/>
      <c r="C427" s="53"/>
      <c r="D427" s="54"/>
      <c r="E427" s="54"/>
    </row>
    <row r="428">
      <c r="A428" s="53"/>
      <c r="B428" s="53"/>
      <c r="C428" s="53"/>
      <c r="D428" s="54"/>
      <c r="E428" s="54"/>
    </row>
    <row r="429">
      <c r="A429" s="53"/>
      <c r="B429" s="53"/>
      <c r="C429" s="53"/>
      <c r="D429" s="54"/>
      <c r="E429" s="54"/>
    </row>
    <row r="430">
      <c r="A430" s="53"/>
      <c r="B430" s="53"/>
      <c r="C430" s="53"/>
      <c r="D430" s="54"/>
      <c r="E430" s="54"/>
    </row>
    <row r="431">
      <c r="A431" s="53"/>
      <c r="B431" s="53"/>
      <c r="C431" s="53"/>
      <c r="D431" s="54"/>
      <c r="E431" s="54"/>
    </row>
    <row r="432">
      <c r="A432" s="53"/>
      <c r="B432" s="53"/>
      <c r="C432" s="53"/>
      <c r="D432" s="54"/>
      <c r="E432" s="54"/>
    </row>
    <row r="433">
      <c r="A433" s="53"/>
      <c r="B433" s="53"/>
      <c r="C433" s="53"/>
      <c r="D433" s="54"/>
      <c r="E433" s="54"/>
    </row>
    <row r="434">
      <c r="A434" s="53"/>
      <c r="B434" s="53"/>
      <c r="C434" s="53"/>
      <c r="D434" s="54"/>
      <c r="E434" s="54"/>
    </row>
    <row r="435">
      <c r="A435" s="53"/>
      <c r="B435" s="53"/>
      <c r="C435" s="53"/>
      <c r="D435" s="54"/>
      <c r="E435" s="54"/>
    </row>
    <row r="436">
      <c r="A436" s="53"/>
      <c r="B436" s="53"/>
      <c r="C436" s="53"/>
      <c r="D436" s="54"/>
      <c r="E436" s="54"/>
    </row>
    <row r="437">
      <c r="A437" s="53"/>
      <c r="B437" s="53"/>
      <c r="C437" s="53"/>
      <c r="D437" s="54"/>
      <c r="E437" s="54"/>
    </row>
    <row r="438">
      <c r="A438" s="53"/>
      <c r="B438" s="53"/>
      <c r="C438" s="53"/>
      <c r="D438" s="54"/>
      <c r="E438" s="54"/>
    </row>
    <row r="439">
      <c r="A439" s="53"/>
      <c r="B439" s="53"/>
      <c r="C439" s="53"/>
      <c r="D439" s="54"/>
      <c r="E439" s="54"/>
    </row>
    <row r="440">
      <c r="A440" s="53"/>
      <c r="B440" s="53"/>
      <c r="C440" s="53"/>
      <c r="D440" s="54"/>
      <c r="E440" s="54"/>
    </row>
    <row r="441">
      <c r="A441" s="53"/>
      <c r="B441" s="53"/>
      <c r="C441" s="53"/>
      <c r="D441" s="54"/>
      <c r="E441" s="54"/>
    </row>
    <row r="442">
      <c r="A442" s="53"/>
      <c r="B442" s="53"/>
      <c r="C442" s="53"/>
      <c r="D442" s="54"/>
      <c r="E442" s="54"/>
    </row>
    <row r="443">
      <c r="A443" s="53"/>
      <c r="B443" s="53"/>
      <c r="C443" s="53"/>
      <c r="D443" s="54"/>
      <c r="E443" s="54"/>
    </row>
    <row r="444">
      <c r="A444" s="53"/>
      <c r="B444" s="53"/>
      <c r="C444" s="53"/>
      <c r="D444" s="54"/>
      <c r="E444" s="54"/>
    </row>
    <row r="445">
      <c r="A445" s="53"/>
      <c r="B445" s="53"/>
      <c r="C445" s="53"/>
      <c r="D445" s="54"/>
      <c r="E445" s="54"/>
    </row>
    <row r="446">
      <c r="A446" s="53"/>
      <c r="B446" s="53"/>
      <c r="C446" s="53"/>
      <c r="D446" s="54"/>
      <c r="E446" s="54"/>
    </row>
    <row r="447">
      <c r="A447" s="53"/>
      <c r="B447" s="53"/>
      <c r="C447" s="53"/>
      <c r="D447" s="54"/>
      <c r="E447" s="54"/>
    </row>
    <row r="448">
      <c r="A448" s="53"/>
      <c r="B448" s="53"/>
      <c r="C448" s="53"/>
      <c r="D448" s="54"/>
      <c r="E448" s="54"/>
    </row>
    <row r="449">
      <c r="A449" s="53"/>
      <c r="B449" s="53"/>
      <c r="C449" s="53"/>
      <c r="D449" s="54"/>
      <c r="E449" s="54"/>
    </row>
    <row r="450">
      <c r="A450" s="53"/>
      <c r="B450" s="53"/>
      <c r="C450" s="53"/>
      <c r="D450" s="54"/>
      <c r="E450" s="54"/>
    </row>
    <row r="451">
      <c r="A451" s="53"/>
      <c r="B451" s="53"/>
      <c r="C451" s="53"/>
      <c r="D451" s="54"/>
      <c r="E451" s="54"/>
    </row>
    <row r="452">
      <c r="A452" s="53"/>
      <c r="B452" s="53"/>
      <c r="C452" s="53"/>
      <c r="D452" s="54"/>
      <c r="E452" s="54"/>
    </row>
    <row r="453">
      <c r="A453" s="53"/>
      <c r="B453" s="53"/>
      <c r="C453" s="53"/>
      <c r="D453" s="54"/>
      <c r="E453" s="54"/>
    </row>
    <row r="454">
      <c r="A454" s="53"/>
      <c r="B454" s="53"/>
      <c r="C454" s="53"/>
      <c r="D454" s="54"/>
      <c r="E454" s="54"/>
    </row>
    <row r="455">
      <c r="A455" s="53"/>
      <c r="B455" s="53"/>
      <c r="C455" s="53"/>
      <c r="D455" s="54"/>
      <c r="E455" s="54"/>
    </row>
    <row r="456">
      <c r="A456" s="53"/>
      <c r="B456" s="53"/>
      <c r="C456" s="53"/>
      <c r="D456" s="54"/>
      <c r="E456" s="54"/>
    </row>
    <row r="457">
      <c r="A457" s="53"/>
      <c r="B457" s="53"/>
      <c r="C457" s="53"/>
      <c r="D457" s="54"/>
      <c r="E457" s="54"/>
    </row>
    <row r="458">
      <c r="A458" s="53"/>
      <c r="B458" s="53"/>
      <c r="C458" s="53"/>
      <c r="D458" s="54"/>
      <c r="E458" s="54"/>
    </row>
    <row r="459">
      <c r="A459" s="53"/>
      <c r="B459" s="53"/>
      <c r="C459" s="53"/>
      <c r="D459" s="54"/>
      <c r="E459" s="54"/>
    </row>
    <row r="460">
      <c r="A460" s="53"/>
      <c r="B460" s="53"/>
      <c r="C460" s="53"/>
      <c r="D460" s="54"/>
      <c r="E460" s="54"/>
    </row>
    <row r="461">
      <c r="A461" s="53"/>
      <c r="B461" s="53"/>
      <c r="C461" s="53"/>
      <c r="D461" s="54"/>
      <c r="E461" s="54"/>
    </row>
    <row r="462">
      <c r="A462" s="53"/>
      <c r="B462" s="53"/>
      <c r="C462" s="53"/>
      <c r="D462" s="54"/>
      <c r="E462" s="54"/>
    </row>
    <row r="463">
      <c r="A463" s="53"/>
      <c r="B463" s="53"/>
      <c r="C463" s="53"/>
      <c r="D463" s="54"/>
      <c r="E463" s="54"/>
    </row>
    <row r="464">
      <c r="A464" s="53"/>
      <c r="B464" s="53"/>
      <c r="C464" s="53"/>
      <c r="D464" s="54"/>
      <c r="E464" s="54"/>
    </row>
    <row r="465">
      <c r="A465" s="53"/>
      <c r="B465" s="53"/>
      <c r="C465" s="53"/>
      <c r="D465" s="54"/>
      <c r="E465" s="54"/>
    </row>
    <row r="466">
      <c r="A466" s="53"/>
      <c r="B466" s="53"/>
      <c r="C466" s="53"/>
      <c r="D466" s="54"/>
      <c r="E466" s="54"/>
    </row>
    <row r="467">
      <c r="A467" s="53"/>
      <c r="B467" s="53"/>
      <c r="C467" s="53"/>
      <c r="D467" s="54"/>
      <c r="E467" s="54"/>
    </row>
    <row r="468">
      <c r="A468" s="53"/>
      <c r="B468" s="53"/>
      <c r="C468" s="53"/>
      <c r="D468" s="54"/>
      <c r="E468" s="54"/>
    </row>
    <row r="469">
      <c r="A469" s="53"/>
      <c r="B469" s="53"/>
      <c r="C469" s="53"/>
      <c r="D469" s="54"/>
      <c r="E469" s="54"/>
    </row>
    <row r="470">
      <c r="A470" s="53"/>
      <c r="B470" s="53"/>
      <c r="C470" s="53"/>
      <c r="D470" s="54"/>
      <c r="E470" s="54"/>
    </row>
    <row r="471">
      <c r="A471" s="53"/>
      <c r="B471" s="53"/>
      <c r="C471" s="53"/>
      <c r="D471" s="54"/>
      <c r="E471" s="54"/>
    </row>
    <row r="472">
      <c r="A472" s="53"/>
      <c r="B472" s="53"/>
      <c r="C472" s="53"/>
      <c r="D472" s="54"/>
      <c r="E472" s="54"/>
    </row>
    <row r="473">
      <c r="A473" s="53"/>
      <c r="B473" s="53"/>
      <c r="C473" s="53"/>
      <c r="D473" s="54"/>
      <c r="E473" s="54"/>
    </row>
    <row r="474">
      <c r="A474" s="53"/>
      <c r="B474" s="53"/>
      <c r="C474" s="53"/>
      <c r="D474" s="54"/>
      <c r="E474" s="54"/>
    </row>
    <row r="475">
      <c r="A475" s="53"/>
      <c r="B475" s="53"/>
      <c r="C475" s="53"/>
      <c r="D475" s="54"/>
      <c r="E475" s="54"/>
    </row>
    <row r="476">
      <c r="A476" s="53"/>
      <c r="B476" s="53"/>
      <c r="C476" s="53"/>
      <c r="D476" s="54"/>
      <c r="E476" s="54"/>
    </row>
    <row r="477">
      <c r="A477" s="53"/>
      <c r="B477" s="53"/>
      <c r="C477" s="53"/>
      <c r="D477" s="54"/>
      <c r="E477" s="54"/>
    </row>
    <row r="478">
      <c r="A478" s="53"/>
      <c r="B478" s="53"/>
      <c r="C478" s="53"/>
      <c r="D478" s="54"/>
      <c r="E478" s="54"/>
    </row>
    <row r="479">
      <c r="A479" s="53"/>
      <c r="B479" s="53"/>
      <c r="C479" s="53"/>
      <c r="D479" s="54"/>
      <c r="E479" s="54"/>
    </row>
    <row r="480">
      <c r="A480" s="53"/>
      <c r="B480" s="53"/>
      <c r="C480" s="53"/>
      <c r="D480" s="54"/>
      <c r="E480" s="54"/>
    </row>
    <row r="481">
      <c r="A481" s="53"/>
      <c r="B481" s="53"/>
      <c r="C481" s="53"/>
      <c r="D481" s="54"/>
      <c r="E481" s="54"/>
    </row>
    <row r="482">
      <c r="A482" s="53"/>
      <c r="B482" s="53"/>
      <c r="C482" s="53"/>
      <c r="D482" s="54"/>
      <c r="E482" s="54"/>
    </row>
    <row r="483">
      <c r="A483" s="53"/>
      <c r="B483" s="53"/>
      <c r="C483" s="53"/>
      <c r="D483" s="54"/>
      <c r="E483" s="54"/>
    </row>
    <row r="484">
      <c r="A484" s="53"/>
      <c r="B484" s="53"/>
      <c r="C484" s="53"/>
      <c r="D484" s="54"/>
      <c r="E484" s="54"/>
    </row>
    <row r="485">
      <c r="A485" s="53"/>
      <c r="B485" s="53"/>
      <c r="C485" s="53"/>
      <c r="D485" s="54"/>
      <c r="E485" s="54"/>
    </row>
    <row r="486">
      <c r="A486" s="53"/>
      <c r="B486" s="53"/>
      <c r="C486" s="53"/>
      <c r="D486" s="54"/>
      <c r="E486" s="54"/>
    </row>
    <row r="487">
      <c r="A487" s="53"/>
      <c r="B487" s="53"/>
      <c r="C487" s="53"/>
      <c r="D487" s="54"/>
      <c r="E487" s="54"/>
    </row>
    <row r="488">
      <c r="A488" s="53"/>
      <c r="B488" s="53"/>
      <c r="C488" s="53"/>
      <c r="D488" s="54"/>
      <c r="E488" s="54"/>
    </row>
    <row r="489">
      <c r="A489" s="53"/>
      <c r="B489" s="53"/>
      <c r="C489" s="53"/>
      <c r="D489" s="54"/>
      <c r="E489" s="54"/>
    </row>
    <row r="490">
      <c r="A490" s="53"/>
      <c r="B490" s="53"/>
      <c r="C490" s="53"/>
      <c r="D490" s="54"/>
      <c r="E490" s="54"/>
    </row>
    <row r="491">
      <c r="A491" s="53"/>
      <c r="B491" s="53"/>
      <c r="C491" s="53"/>
      <c r="D491" s="54"/>
      <c r="E491" s="54"/>
    </row>
    <row r="492">
      <c r="A492" s="53"/>
      <c r="B492" s="53"/>
      <c r="C492" s="53"/>
      <c r="D492" s="54"/>
      <c r="E492" s="54"/>
    </row>
    <row r="493">
      <c r="A493" s="53"/>
      <c r="B493" s="53"/>
      <c r="C493" s="53"/>
      <c r="D493" s="54"/>
      <c r="E493" s="54"/>
    </row>
    <row r="494">
      <c r="A494" s="53"/>
      <c r="B494" s="53"/>
      <c r="C494" s="53"/>
      <c r="D494" s="54"/>
      <c r="E494" s="54"/>
    </row>
    <row r="495">
      <c r="A495" s="53"/>
      <c r="B495" s="53"/>
      <c r="C495" s="53"/>
      <c r="D495" s="54"/>
      <c r="E495" s="54"/>
    </row>
    <row r="496">
      <c r="A496" s="53"/>
      <c r="B496" s="53"/>
      <c r="C496" s="53"/>
      <c r="D496" s="54"/>
      <c r="E496" s="54"/>
    </row>
    <row r="497">
      <c r="A497" s="53"/>
      <c r="B497" s="53"/>
      <c r="C497" s="53"/>
      <c r="D497" s="54"/>
      <c r="E497" s="54"/>
    </row>
    <row r="498">
      <c r="A498" s="53"/>
      <c r="B498" s="53"/>
      <c r="C498" s="53"/>
      <c r="D498" s="54"/>
      <c r="E498" s="54"/>
    </row>
    <row r="499">
      <c r="A499" s="53"/>
      <c r="B499" s="53"/>
      <c r="C499" s="53"/>
      <c r="D499" s="54"/>
      <c r="E499" s="54"/>
    </row>
    <row r="500">
      <c r="A500" s="53"/>
      <c r="B500" s="53"/>
      <c r="C500" s="53"/>
      <c r="D500" s="54"/>
      <c r="E500" s="54"/>
    </row>
    <row r="501">
      <c r="A501" s="53"/>
      <c r="B501" s="53"/>
      <c r="C501" s="53"/>
      <c r="D501" s="54"/>
      <c r="E501" s="54"/>
    </row>
    <row r="502">
      <c r="A502" s="53"/>
      <c r="B502" s="53"/>
      <c r="C502" s="53"/>
      <c r="D502" s="54"/>
      <c r="E502" s="54"/>
    </row>
    <row r="503">
      <c r="A503" s="53"/>
      <c r="B503" s="53"/>
      <c r="C503" s="53"/>
      <c r="D503" s="54"/>
      <c r="E503" s="54"/>
    </row>
    <row r="504">
      <c r="A504" s="53"/>
      <c r="B504" s="53"/>
      <c r="C504" s="53"/>
      <c r="D504" s="54"/>
      <c r="E504" s="54"/>
    </row>
    <row r="505">
      <c r="A505" s="53"/>
      <c r="B505" s="53"/>
      <c r="C505" s="53"/>
      <c r="D505" s="54"/>
      <c r="E505" s="54"/>
    </row>
    <row r="506">
      <c r="A506" s="53"/>
      <c r="B506" s="53"/>
      <c r="C506" s="53"/>
      <c r="D506" s="54"/>
      <c r="E506" s="54"/>
    </row>
    <row r="507">
      <c r="A507" s="53"/>
      <c r="B507" s="53"/>
      <c r="C507" s="53"/>
      <c r="D507" s="54"/>
      <c r="E507" s="54"/>
    </row>
    <row r="508">
      <c r="A508" s="53"/>
      <c r="B508" s="53"/>
      <c r="C508" s="53"/>
      <c r="D508" s="54"/>
      <c r="E508" s="54"/>
    </row>
    <row r="509">
      <c r="A509" s="53"/>
      <c r="B509" s="53"/>
      <c r="C509" s="53"/>
      <c r="D509" s="54"/>
      <c r="E509" s="54"/>
    </row>
    <row r="510">
      <c r="A510" s="53"/>
      <c r="B510" s="53"/>
      <c r="C510" s="53"/>
      <c r="D510" s="54"/>
      <c r="E510" s="54"/>
    </row>
    <row r="511">
      <c r="A511" s="53"/>
      <c r="B511" s="53"/>
      <c r="C511" s="53"/>
      <c r="D511" s="54"/>
      <c r="E511" s="54"/>
    </row>
    <row r="512">
      <c r="A512" s="53"/>
      <c r="B512" s="53"/>
      <c r="C512" s="53"/>
      <c r="D512" s="54"/>
      <c r="E512" s="54"/>
    </row>
    <row r="513">
      <c r="A513" s="53"/>
      <c r="B513" s="53"/>
      <c r="C513" s="53"/>
      <c r="D513" s="54"/>
      <c r="E513" s="54"/>
    </row>
    <row r="514">
      <c r="A514" s="53"/>
      <c r="B514" s="53"/>
      <c r="C514" s="53"/>
      <c r="D514" s="54"/>
      <c r="E514" s="54"/>
    </row>
    <row r="515">
      <c r="A515" s="53"/>
      <c r="B515" s="53"/>
      <c r="C515" s="53"/>
      <c r="D515" s="54"/>
      <c r="E515" s="54"/>
    </row>
    <row r="516">
      <c r="A516" s="53"/>
      <c r="B516" s="53"/>
      <c r="C516" s="53"/>
      <c r="D516" s="54"/>
      <c r="E516" s="54"/>
    </row>
    <row r="517">
      <c r="A517" s="53"/>
      <c r="B517" s="53"/>
      <c r="C517" s="53"/>
      <c r="D517" s="54"/>
      <c r="E517" s="54"/>
    </row>
    <row r="518">
      <c r="A518" s="53"/>
      <c r="B518" s="53"/>
      <c r="C518" s="53"/>
      <c r="D518" s="54"/>
      <c r="E518" s="54"/>
    </row>
    <row r="519">
      <c r="A519" s="53"/>
      <c r="B519" s="53"/>
      <c r="C519" s="53"/>
      <c r="D519" s="54"/>
      <c r="E519" s="54"/>
    </row>
    <row r="520">
      <c r="A520" s="53"/>
      <c r="B520" s="53"/>
      <c r="C520" s="53"/>
      <c r="D520" s="54"/>
      <c r="E520" s="54"/>
    </row>
    <row r="521">
      <c r="A521" s="53"/>
      <c r="B521" s="53"/>
      <c r="C521" s="53"/>
      <c r="D521" s="54"/>
      <c r="E521" s="54"/>
    </row>
    <row r="522">
      <c r="A522" s="53"/>
      <c r="B522" s="53"/>
      <c r="C522" s="53"/>
      <c r="D522" s="54"/>
      <c r="E522" s="54"/>
    </row>
    <row r="523">
      <c r="A523" s="53"/>
      <c r="B523" s="53"/>
      <c r="C523" s="53"/>
      <c r="D523" s="54"/>
      <c r="E523" s="54"/>
    </row>
    <row r="524">
      <c r="A524" s="53"/>
      <c r="B524" s="53"/>
      <c r="C524" s="53"/>
      <c r="D524" s="54"/>
      <c r="E524" s="54"/>
    </row>
    <row r="525">
      <c r="A525" s="53"/>
      <c r="B525" s="53"/>
      <c r="C525" s="53"/>
      <c r="D525" s="54"/>
      <c r="E525" s="54"/>
    </row>
    <row r="526">
      <c r="A526" s="53"/>
      <c r="B526" s="53"/>
      <c r="C526" s="53"/>
      <c r="D526" s="54"/>
      <c r="E526" s="54"/>
    </row>
    <row r="527">
      <c r="A527" s="53"/>
      <c r="B527" s="53"/>
      <c r="C527" s="53"/>
      <c r="D527" s="54"/>
      <c r="E527" s="54"/>
    </row>
    <row r="528">
      <c r="A528" s="53"/>
      <c r="B528" s="53"/>
      <c r="C528" s="53"/>
      <c r="D528" s="54"/>
      <c r="E528" s="54"/>
    </row>
    <row r="529">
      <c r="A529" s="53"/>
      <c r="B529" s="53"/>
      <c r="C529" s="53"/>
      <c r="D529" s="54"/>
      <c r="E529" s="54"/>
    </row>
    <row r="530">
      <c r="A530" s="53"/>
      <c r="B530" s="53"/>
      <c r="C530" s="53"/>
      <c r="D530" s="54"/>
      <c r="E530" s="54"/>
    </row>
    <row r="531">
      <c r="A531" s="53"/>
      <c r="B531" s="53"/>
      <c r="C531" s="53"/>
      <c r="D531" s="54"/>
      <c r="E531" s="54"/>
    </row>
    <row r="532">
      <c r="A532" s="53"/>
      <c r="B532" s="53"/>
      <c r="C532" s="53"/>
      <c r="D532" s="54"/>
      <c r="E532" s="54"/>
    </row>
    <row r="533">
      <c r="A533" s="53"/>
      <c r="B533" s="53"/>
      <c r="C533" s="53"/>
      <c r="D533" s="54"/>
      <c r="E533" s="54"/>
    </row>
    <row r="534">
      <c r="A534" s="53"/>
      <c r="B534" s="53"/>
      <c r="C534" s="53"/>
      <c r="D534" s="54"/>
      <c r="E534" s="54"/>
    </row>
    <row r="535">
      <c r="A535" s="53"/>
      <c r="B535" s="53"/>
      <c r="C535" s="53"/>
      <c r="D535" s="54"/>
      <c r="E535" s="54"/>
    </row>
    <row r="536">
      <c r="A536" s="53"/>
      <c r="B536" s="53"/>
      <c r="C536" s="53"/>
      <c r="D536" s="54"/>
      <c r="E536" s="54"/>
    </row>
    <row r="537">
      <c r="A537" s="53"/>
      <c r="B537" s="53"/>
      <c r="C537" s="53"/>
      <c r="D537" s="54"/>
      <c r="E537" s="54"/>
    </row>
    <row r="538">
      <c r="A538" s="53"/>
      <c r="B538" s="53"/>
      <c r="C538" s="53"/>
      <c r="D538" s="54"/>
      <c r="E538" s="54"/>
    </row>
    <row r="539">
      <c r="A539" s="53"/>
      <c r="B539" s="53"/>
      <c r="C539" s="53"/>
      <c r="D539" s="54"/>
      <c r="E539" s="54"/>
    </row>
    <row r="540">
      <c r="A540" s="53"/>
      <c r="B540" s="53"/>
      <c r="C540" s="53"/>
      <c r="D540" s="54"/>
      <c r="E540" s="54"/>
    </row>
    <row r="541">
      <c r="A541" s="53"/>
      <c r="B541" s="53"/>
      <c r="C541" s="53"/>
      <c r="D541" s="54"/>
      <c r="E541" s="54"/>
    </row>
    <row r="542">
      <c r="A542" s="53"/>
      <c r="B542" s="53"/>
      <c r="C542" s="53"/>
      <c r="D542" s="54"/>
      <c r="E542" s="54"/>
    </row>
    <row r="543">
      <c r="A543" s="53"/>
      <c r="B543" s="53"/>
      <c r="C543" s="53"/>
      <c r="D543" s="54"/>
      <c r="E543" s="54"/>
    </row>
    <row r="544">
      <c r="A544" s="53"/>
      <c r="B544" s="53"/>
      <c r="C544" s="53"/>
      <c r="D544" s="54"/>
      <c r="E544" s="54"/>
    </row>
    <row r="545">
      <c r="A545" s="53"/>
      <c r="B545" s="53"/>
      <c r="C545" s="53"/>
      <c r="D545" s="54"/>
      <c r="E545" s="54"/>
    </row>
    <row r="546">
      <c r="A546" s="53"/>
      <c r="B546" s="53"/>
      <c r="C546" s="53"/>
      <c r="D546" s="54"/>
      <c r="E546" s="54"/>
    </row>
    <row r="547">
      <c r="A547" s="53"/>
      <c r="B547" s="53"/>
      <c r="C547" s="53"/>
      <c r="D547" s="54"/>
      <c r="E547" s="54"/>
    </row>
    <row r="548">
      <c r="A548" s="53"/>
      <c r="B548" s="53"/>
      <c r="C548" s="53"/>
      <c r="D548" s="54"/>
      <c r="E548" s="54"/>
    </row>
    <row r="549">
      <c r="A549" s="53"/>
      <c r="B549" s="53"/>
      <c r="C549" s="53"/>
      <c r="D549" s="54"/>
      <c r="E549" s="54"/>
    </row>
    <row r="550">
      <c r="A550" s="53"/>
      <c r="B550" s="53"/>
      <c r="C550" s="53"/>
      <c r="D550" s="54"/>
      <c r="E550" s="54"/>
    </row>
    <row r="551">
      <c r="A551" s="53"/>
      <c r="B551" s="53"/>
      <c r="C551" s="53"/>
      <c r="D551" s="54"/>
      <c r="E551" s="54"/>
    </row>
    <row r="552">
      <c r="A552" s="53"/>
      <c r="B552" s="53"/>
      <c r="C552" s="53"/>
      <c r="D552" s="54"/>
      <c r="E552" s="54"/>
    </row>
    <row r="553">
      <c r="A553" s="53"/>
      <c r="B553" s="53"/>
      <c r="C553" s="53"/>
      <c r="D553" s="54"/>
      <c r="E553" s="54"/>
    </row>
    <row r="554">
      <c r="A554" s="53"/>
      <c r="B554" s="53"/>
      <c r="C554" s="53"/>
      <c r="D554" s="54"/>
      <c r="E554" s="54"/>
    </row>
    <row r="555">
      <c r="A555" s="53"/>
      <c r="B555" s="53"/>
      <c r="C555" s="53"/>
      <c r="D555" s="54"/>
      <c r="E555" s="54"/>
    </row>
    <row r="556">
      <c r="A556" s="53"/>
      <c r="B556" s="53"/>
      <c r="C556" s="53"/>
      <c r="D556" s="54"/>
      <c r="E556" s="54"/>
    </row>
    <row r="557">
      <c r="A557" s="53"/>
      <c r="B557" s="53"/>
      <c r="C557" s="53"/>
      <c r="D557" s="54"/>
      <c r="E557" s="54"/>
    </row>
    <row r="558">
      <c r="A558" s="53"/>
      <c r="B558" s="53"/>
      <c r="C558" s="53"/>
      <c r="D558" s="54"/>
      <c r="E558" s="54"/>
    </row>
    <row r="559">
      <c r="A559" s="53"/>
      <c r="B559" s="53"/>
      <c r="C559" s="53"/>
      <c r="D559" s="54"/>
      <c r="E559" s="54"/>
    </row>
    <row r="560">
      <c r="A560" s="53"/>
      <c r="B560" s="53"/>
      <c r="C560" s="53"/>
      <c r="D560" s="54"/>
      <c r="E560" s="54"/>
    </row>
    <row r="561">
      <c r="A561" s="53"/>
      <c r="B561" s="53"/>
      <c r="C561" s="53"/>
      <c r="D561" s="54"/>
      <c r="E561" s="54"/>
    </row>
    <row r="562">
      <c r="A562" s="53"/>
      <c r="B562" s="53"/>
      <c r="C562" s="53"/>
      <c r="D562" s="54"/>
      <c r="E562" s="54"/>
    </row>
    <row r="563">
      <c r="A563" s="53"/>
      <c r="B563" s="53"/>
      <c r="C563" s="53"/>
      <c r="D563" s="54"/>
      <c r="E563" s="54"/>
    </row>
    <row r="564">
      <c r="A564" s="53"/>
      <c r="B564" s="53"/>
      <c r="C564" s="53"/>
      <c r="D564" s="54"/>
      <c r="E564" s="54"/>
    </row>
    <row r="565">
      <c r="A565" s="53"/>
      <c r="B565" s="53"/>
      <c r="C565" s="53"/>
      <c r="D565" s="54"/>
      <c r="E565" s="54"/>
    </row>
    <row r="566">
      <c r="A566" s="53"/>
      <c r="B566" s="53"/>
      <c r="C566" s="53"/>
      <c r="D566" s="54"/>
      <c r="E566" s="54"/>
    </row>
    <row r="567">
      <c r="A567" s="53"/>
      <c r="B567" s="53"/>
      <c r="C567" s="53"/>
      <c r="D567" s="54"/>
      <c r="E567" s="54"/>
    </row>
    <row r="568">
      <c r="A568" s="53"/>
      <c r="B568" s="53"/>
      <c r="C568" s="53"/>
      <c r="D568" s="54"/>
      <c r="E568" s="54"/>
    </row>
    <row r="569">
      <c r="A569" s="53"/>
      <c r="B569" s="53"/>
      <c r="C569" s="53"/>
      <c r="D569" s="54"/>
      <c r="E569" s="54"/>
    </row>
    <row r="570">
      <c r="A570" s="53"/>
      <c r="B570" s="53"/>
      <c r="C570" s="53"/>
      <c r="D570" s="54"/>
      <c r="E570" s="54"/>
    </row>
    <row r="571">
      <c r="A571" s="53"/>
      <c r="B571" s="53"/>
      <c r="C571" s="53"/>
      <c r="D571" s="54"/>
      <c r="E571" s="54"/>
    </row>
    <row r="572">
      <c r="A572" s="53"/>
      <c r="B572" s="53"/>
      <c r="C572" s="53"/>
      <c r="D572" s="54"/>
      <c r="E572" s="54"/>
    </row>
    <row r="573">
      <c r="A573" s="53"/>
      <c r="B573" s="53"/>
      <c r="C573" s="53"/>
      <c r="D573" s="54"/>
      <c r="E573" s="54"/>
    </row>
    <row r="574">
      <c r="A574" s="53"/>
      <c r="B574" s="53"/>
      <c r="C574" s="53"/>
      <c r="D574" s="54"/>
      <c r="E574" s="54"/>
    </row>
    <row r="575">
      <c r="A575" s="53"/>
      <c r="B575" s="53"/>
      <c r="C575" s="53"/>
      <c r="D575" s="54"/>
      <c r="E575" s="54"/>
    </row>
    <row r="576">
      <c r="A576" s="53"/>
      <c r="B576" s="53"/>
      <c r="C576" s="53"/>
      <c r="D576" s="54"/>
      <c r="E576" s="54"/>
    </row>
    <row r="577">
      <c r="A577" s="53"/>
      <c r="B577" s="53"/>
      <c r="C577" s="53"/>
      <c r="D577" s="54"/>
      <c r="E577" s="54"/>
    </row>
    <row r="578">
      <c r="A578" s="53"/>
      <c r="B578" s="53"/>
      <c r="C578" s="53"/>
      <c r="D578" s="54"/>
      <c r="E578" s="54"/>
    </row>
    <row r="579">
      <c r="A579" s="53"/>
      <c r="B579" s="53"/>
      <c r="C579" s="53"/>
      <c r="D579" s="54"/>
      <c r="E579" s="54"/>
    </row>
    <row r="580">
      <c r="A580" s="53"/>
      <c r="B580" s="53"/>
      <c r="C580" s="53"/>
      <c r="D580" s="54"/>
      <c r="E580" s="54"/>
    </row>
    <row r="581">
      <c r="A581" s="53"/>
      <c r="B581" s="53"/>
      <c r="C581" s="53"/>
      <c r="D581" s="54"/>
      <c r="E581" s="54"/>
    </row>
    <row r="582">
      <c r="A582" s="53"/>
      <c r="B582" s="53"/>
      <c r="C582" s="53"/>
      <c r="D582" s="54"/>
      <c r="E582" s="54"/>
    </row>
    <row r="583">
      <c r="A583" s="53"/>
      <c r="B583" s="53"/>
      <c r="C583" s="53"/>
      <c r="D583" s="54"/>
      <c r="E583" s="54"/>
    </row>
    <row r="584">
      <c r="A584" s="53"/>
      <c r="B584" s="53"/>
      <c r="C584" s="53"/>
      <c r="D584" s="54"/>
      <c r="E584" s="54"/>
    </row>
    <row r="585">
      <c r="A585" s="53"/>
      <c r="B585" s="53"/>
      <c r="C585" s="53"/>
      <c r="D585" s="54"/>
      <c r="E585" s="54"/>
    </row>
    <row r="586">
      <c r="A586" s="53"/>
      <c r="B586" s="53"/>
      <c r="C586" s="53"/>
      <c r="D586" s="54"/>
      <c r="E586" s="54"/>
    </row>
    <row r="587">
      <c r="A587" s="53"/>
      <c r="B587" s="53"/>
      <c r="C587" s="53"/>
      <c r="D587" s="54"/>
      <c r="E587" s="54"/>
    </row>
    <row r="588">
      <c r="A588" s="53"/>
      <c r="B588" s="53"/>
      <c r="C588" s="53"/>
      <c r="D588" s="54"/>
      <c r="E588" s="54"/>
    </row>
    <row r="589">
      <c r="A589" s="53"/>
      <c r="B589" s="53"/>
      <c r="C589" s="53"/>
      <c r="D589" s="54"/>
      <c r="E589" s="54"/>
    </row>
    <row r="590">
      <c r="A590" s="53"/>
      <c r="B590" s="53"/>
      <c r="C590" s="53"/>
      <c r="D590" s="54"/>
      <c r="E590" s="54"/>
    </row>
    <row r="591">
      <c r="A591" s="53"/>
      <c r="B591" s="53"/>
      <c r="C591" s="53"/>
      <c r="D591" s="54"/>
      <c r="E591" s="54"/>
    </row>
    <row r="592">
      <c r="A592" s="53"/>
      <c r="B592" s="53"/>
      <c r="C592" s="53"/>
      <c r="D592" s="54"/>
      <c r="E592" s="54"/>
    </row>
    <row r="593">
      <c r="A593" s="53"/>
      <c r="B593" s="53"/>
      <c r="C593" s="53"/>
      <c r="D593" s="54"/>
      <c r="E593" s="54"/>
    </row>
    <row r="594">
      <c r="A594" s="53"/>
      <c r="B594" s="53"/>
      <c r="C594" s="53"/>
      <c r="D594" s="54"/>
      <c r="E594" s="54"/>
    </row>
    <row r="595">
      <c r="A595" s="53"/>
      <c r="B595" s="53"/>
      <c r="C595" s="53"/>
      <c r="D595" s="54"/>
      <c r="E595" s="54"/>
    </row>
    <row r="596">
      <c r="A596" s="53"/>
      <c r="B596" s="53"/>
      <c r="C596" s="53"/>
      <c r="D596" s="54"/>
      <c r="E596" s="54"/>
    </row>
    <row r="597">
      <c r="A597" s="53"/>
      <c r="B597" s="53"/>
      <c r="C597" s="53"/>
      <c r="D597" s="54"/>
      <c r="E597" s="54"/>
    </row>
    <row r="598">
      <c r="A598" s="53"/>
      <c r="B598" s="53"/>
      <c r="C598" s="53"/>
      <c r="D598" s="54"/>
      <c r="E598" s="54"/>
    </row>
    <row r="599">
      <c r="A599" s="53"/>
      <c r="B599" s="53"/>
      <c r="C599" s="53"/>
      <c r="D599" s="54"/>
      <c r="E599" s="54"/>
    </row>
    <row r="600">
      <c r="A600" s="53"/>
      <c r="B600" s="53"/>
      <c r="C600" s="53"/>
      <c r="D600" s="54"/>
      <c r="E600" s="54"/>
    </row>
    <row r="601">
      <c r="A601" s="53"/>
      <c r="B601" s="53"/>
      <c r="C601" s="53"/>
      <c r="D601" s="54"/>
      <c r="E601" s="54"/>
    </row>
    <row r="602">
      <c r="A602" s="53"/>
      <c r="B602" s="53"/>
      <c r="C602" s="53"/>
      <c r="D602" s="54"/>
      <c r="E602" s="54"/>
    </row>
    <row r="603">
      <c r="A603" s="53"/>
      <c r="B603" s="53"/>
      <c r="C603" s="53"/>
      <c r="D603" s="54"/>
      <c r="E603" s="54"/>
    </row>
    <row r="604">
      <c r="A604" s="53"/>
      <c r="B604" s="53"/>
      <c r="C604" s="53"/>
      <c r="D604" s="54"/>
      <c r="E604" s="54"/>
    </row>
    <row r="605">
      <c r="A605" s="53"/>
      <c r="B605" s="53"/>
      <c r="C605" s="53"/>
      <c r="D605" s="54"/>
      <c r="E605" s="54"/>
    </row>
    <row r="606">
      <c r="A606" s="53"/>
      <c r="B606" s="53"/>
      <c r="C606" s="53"/>
      <c r="D606" s="54"/>
      <c r="E606" s="54"/>
    </row>
    <row r="607">
      <c r="A607" s="53"/>
      <c r="B607" s="53"/>
      <c r="C607" s="53"/>
      <c r="D607" s="54"/>
      <c r="E607" s="54"/>
    </row>
    <row r="608">
      <c r="A608" s="53"/>
      <c r="B608" s="53"/>
      <c r="C608" s="53"/>
      <c r="D608" s="54"/>
      <c r="E608" s="54"/>
    </row>
    <row r="609">
      <c r="A609" s="53"/>
      <c r="B609" s="53"/>
      <c r="C609" s="53"/>
      <c r="D609" s="54"/>
      <c r="E609" s="54"/>
    </row>
    <row r="610">
      <c r="A610" s="53"/>
      <c r="B610" s="53"/>
      <c r="C610" s="53"/>
      <c r="D610" s="54"/>
      <c r="E610" s="54"/>
    </row>
    <row r="611">
      <c r="A611" s="53"/>
      <c r="B611" s="53"/>
      <c r="C611" s="53"/>
      <c r="D611" s="54"/>
      <c r="E611" s="54"/>
    </row>
    <row r="612">
      <c r="A612" s="53"/>
      <c r="B612" s="53"/>
      <c r="C612" s="53"/>
      <c r="D612" s="54"/>
      <c r="E612" s="54"/>
    </row>
    <row r="613">
      <c r="A613" s="53"/>
      <c r="B613" s="53"/>
      <c r="C613" s="53"/>
      <c r="D613" s="54"/>
      <c r="E613" s="54"/>
    </row>
    <row r="614">
      <c r="A614" s="53"/>
      <c r="B614" s="53"/>
      <c r="C614" s="53"/>
      <c r="D614" s="54"/>
      <c r="E614" s="54"/>
    </row>
    <row r="615">
      <c r="A615" s="53"/>
      <c r="B615" s="53"/>
      <c r="C615" s="53"/>
      <c r="D615" s="54"/>
      <c r="E615" s="54"/>
    </row>
    <row r="616">
      <c r="A616" s="53"/>
      <c r="B616" s="53"/>
      <c r="C616" s="53"/>
      <c r="D616" s="54"/>
      <c r="E616" s="54"/>
    </row>
    <row r="617">
      <c r="A617" s="53"/>
      <c r="B617" s="53"/>
      <c r="C617" s="53"/>
      <c r="D617" s="54"/>
      <c r="E617" s="54"/>
    </row>
    <row r="618">
      <c r="A618" s="53"/>
      <c r="B618" s="53"/>
      <c r="C618" s="53"/>
      <c r="D618" s="54"/>
      <c r="E618" s="54"/>
    </row>
    <row r="619">
      <c r="A619" s="53"/>
      <c r="B619" s="53"/>
      <c r="C619" s="53"/>
      <c r="D619" s="54"/>
      <c r="E619" s="54"/>
    </row>
    <row r="620">
      <c r="A620" s="53"/>
      <c r="B620" s="53"/>
      <c r="C620" s="53"/>
      <c r="D620" s="54"/>
      <c r="E620" s="54"/>
    </row>
    <row r="621">
      <c r="A621" s="53"/>
      <c r="B621" s="53"/>
      <c r="C621" s="53"/>
      <c r="D621" s="54"/>
      <c r="E621" s="54"/>
    </row>
    <row r="622">
      <c r="A622" s="53"/>
      <c r="B622" s="53"/>
      <c r="C622" s="53"/>
      <c r="D622" s="54"/>
      <c r="E622" s="54"/>
    </row>
    <row r="623">
      <c r="A623" s="53"/>
      <c r="B623" s="53"/>
      <c r="C623" s="53"/>
      <c r="D623" s="54"/>
      <c r="E623" s="54"/>
    </row>
    <row r="624">
      <c r="A624" s="53"/>
      <c r="B624" s="53"/>
      <c r="C624" s="53"/>
      <c r="D624" s="54"/>
      <c r="E624" s="54"/>
    </row>
    <row r="625">
      <c r="A625" s="53"/>
      <c r="B625" s="53"/>
      <c r="C625" s="53"/>
      <c r="D625" s="54"/>
      <c r="E625" s="54"/>
    </row>
    <row r="626">
      <c r="A626" s="53"/>
      <c r="B626" s="53"/>
      <c r="C626" s="53"/>
      <c r="D626" s="54"/>
      <c r="E626" s="54"/>
    </row>
    <row r="627">
      <c r="A627" s="53"/>
      <c r="B627" s="53"/>
      <c r="C627" s="53"/>
      <c r="D627" s="54"/>
      <c r="E627" s="54"/>
    </row>
    <row r="628">
      <c r="A628" s="53"/>
      <c r="B628" s="53"/>
      <c r="C628" s="53"/>
      <c r="D628" s="54"/>
      <c r="E628" s="54"/>
    </row>
    <row r="629">
      <c r="A629" s="53"/>
      <c r="B629" s="53"/>
      <c r="C629" s="53"/>
      <c r="D629" s="54"/>
      <c r="E629" s="54"/>
    </row>
    <row r="630">
      <c r="A630" s="53"/>
      <c r="B630" s="53"/>
      <c r="C630" s="53"/>
      <c r="D630" s="54"/>
      <c r="E630" s="54"/>
    </row>
    <row r="631">
      <c r="A631" s="53"/>
      <c r="B631" s="53"/>
      <c r="C631" s="53"/>
      <c r="D631" s="54"/>
      <c r="E631" s="54"/>
    </row>
    <row r="632">
      <c r="A632" s="53"/>
      <c r="B632" s="53"/>
      <c r="C632" s="53"/>
      <c r="D632" s="54"/>
      <c r="E632" s="54"/>
    </row>
    <row r="633">
      <c r="A633" s="53"/>
      <c r="B633" s="53"/>
      <c r="C633" s="53"/>
      <c r="D633" s="54"/>
      <c r="E633" s="54"/>
    </row>
    <row r="634">
      <c r="A634" s="53"/>
      <c r="B634" s="53"/>
      <c r="C634" s="53"/>
      <c r="D634" s="54"/>
      <c r="E634" s="54"/>
    </row>
    <row r="635">
      <c r="A635" s="53"/>
      <c r="B635" s="53"/>
      <c r="C635" s="53"/>
      <c r="D635" s="54"/>
      <c r="E635" s="54"/>
    </row>
    <row r="636">
      <c r="A636" s="53"/>
      <c r="B636" s="53"/>
      <c r="C636" s="53"/>
      <c r="D636" s="54"/>
      <c r="E636" s="54"/>
    </row>
    <row r="637">
      <c r="A637" s="53"/>
      <c r="B637" s="53"/>
      <c r="C637" s="53"/>
      <c r="D637" s="54"/>
      <c r="E637" s="54"/>
    </row>
    <row r="638">
      <c r="A638" s="53"/>
      <c r="B638" s="53"/>
      <c r="C638" s="53"/>
      <c r="D638" s="54"/>
      <c r="E638" s="54"/>
    </row>
    <row r="639">
      <c r="A639" s="53"/>
      <c r="B639" s="53"/>
      <c r="C639" s="53"/>
      <c r="D639" s="54"/>
      <c r="E639" s="54"/>
    </row>
    <row r="640">
      <c r="A640" s="53"/>
      <c r="B640" s="53"/>
      <c r="C640" s="53"/>
      <c r="D640" s="54"/>
      <c r="E640" s="54"/>
    </row>
    <row r="641">
      <c r="A641" s="53"/>
      <c r="B641" s="53"/>
      <c r="C641" s="53"/>
      <c r="D641" s="54"/>
      <c r="E641" s="54"/>
    </row>
    <row r="642">
      <c r="A642" s="53"/>
      <c r="B642" s="53"/>
      <c r="C642" s="53"/>
      <c r="D642" s="54"/>
      <c r="E642" s="54"/>
    </row>
    <row r="643">
      <c r="A643" s="53"/>
      <c r="B643" s="53"/>
      <c r="C643" s="53"/>
      <c r="D643" s="54"/>
      <c r="E643" s="54"/>
    </row>
    <row r="644">
      <c r="A644" s="53"/>
      <c r="B644" s="53"/>
      <c r="C644" s="53"/>
      <c r="D644" s="54"/>
      <c r="E644" s="54"/>
    </row>
    <row r="645">
      <c r="A645" s="53"/>
      <c r="B645" s="53"/>
      <c r="C645" s="53"/>
      <c r="D645" s="54"/>
      <c r="E645" s="54"/>
    </row>
    <row r="646">
      <c r="A646" s="53"/>
      <c r="B646" s="53"/>
      <c r="C646" s="53"/>
      <c r="D646" s="54"/>
      <c r="E646" s="54"/>
    </row>
    <row r="647">
      <c r="A647" s="53"/>
      <c r="B647" s="53"/>
      <c r="C647" s="53"/>
      <c r="D647" s="54"/>
      <c r="E647" s="54"/>
    </row>
    <row r="648">
      <c r="A648" s="53"/>
      <c r="B648" s="53"/>
      <c r="C648" s="53"/>
      <c r="D648" s="54"/>
      <c r="E648" s="54"/>
    </row>
    <row r="649">
      <c r="A649" s="53"/>
      <c r="B649" s="53"/>
      <c r="C649" s="53"/>
      <c r="D649" s="54"/>
      <c r="E649" s="54"/>
    </row>
    <row r="650">
      <c r="A650" s="53"/>
      <c r="B650" s="53"/>
      <c r="C650" s="53"/>
      <c r="D650" s="54"/>
      <c r="E650" s="54"/>
    </row>
    <row r="651">
      <c r="A651" s="53"/>
      <c r="B651" s="53"/>
      <c r="C651" s="53"/>
      <c r="D651" s="54"/>
      <c r="E651" s="54"/>
    </row>
    <row r="652">
      <c r="A652" s="53"/>
      <c r="B652" s="53"/>
      <c r="C652" s="53"/>
      <c r="D652" s="54"/>
      <c r="E652" s="54"/>
    </row>
    <row r="653">
      <c r="A653" s="53"/>
      <c r="B653" s="53"/>
      <c r="C653" s="53"/>
      <c r="D653" s="54"/>
      <c r="E653" s="54"/>
    </row>
    <row r="654">
      <c r="A654" s="53"/>
      <c r="B654" s="53"/>
      <c r="C654" s="53"/>
      <c r="D654" s="54"/>
      <c r="E654" s="54"/>
    </row>
    <row r="655">
      <c r="A655" s="53"/>
      <c r="B655" s="53"/>
      <c r="C655" s="53"/>
      <c r="D655" s="54"/>
      <c r="E655" s="54"/>
    </row>
    <row r="656">
      <c r="A656" s="53"/>
      <c r="B656" s="53"/>
      <c r="C656" s="53"/>
      <c r="D656" s="54"/>
      <c r="E656" s="54"/>
    </row>
    <row r="657">
      <c r="A657" s="53"/>
      <c r="B657" s="53"/>
      <c r="C657" s="53"/>
      <c r="D657" s="54"/>
      <c r="E657" s="54"/>
    </row>
    <row r="658">
      <c r="A658" s="53"/>
      <c r="B658" s="53"/>
      <c r="C658" s="53"/>
      <c r="D658" s="54"/>
      <c r="E658" s="54"/>
    </row>
    <row r="659">
      <c r="A659" s="53"/>
      <c r="B659" s="53"/>
      <c r="C659" s="53"/>
      <c r="D659" s="54"/>
      <c r="E659" s="54"/>
    </row>
    <row r="660">
      <c r="A660" s="53"/>
      <c r="B660" s="53"/>
      <c r="C660" s="53"/>
      <c r="D660" s="54"/>
      <c r="E660" s="54"/>
    </row>
    <row r="661">
      <c r="A661" s="53"/>
      <c r="B661" s="53"/>
      <c r="C661" s="53"/>
      <c r="D661" s="54"/>
      <c r="E661" s="54"/>
    </row>
    <row r="662">
      <c r="A662" s="53"/>
      <c r="B662" s="53"/>
      <c r="C662" s="53"/>
      <c r="D662" s="54"/>
      <c r="E662" s="54"/>
    </row>
    <row r="663">
      <c r="A663" s="53"/>
      <c r="B663" s="53"/>
      <c r="C663" s="53"/>
      <c r="D663" s="54"/>
      <c r="E663" s="54"/>
    </row>
    <row r="664">
      <c r="A664" s="53"/>
      <c r="B664" s="53"/>
      <c r="C664" s="53"/>
      <c r="D664" s="54"/>
      <c r="E664" s="54"/>
    </row>
    <row r="665">
      <c r="A665" s="53"/>
      <c r="B665" s="53"/>
      <c r="C665" s="53"/>
      <c r="D665" s="54"/>
      <c r="E665" s="54"/>
    </row>
    <row r="666">
      <c r="A666" s="53"/>
      <c r="B666" s="53"/>
      <c r="C666" s="53"/>
      <c r="D666" s="54"/>
      <c r="E666" s="54"/>
    </row>
    <row r="667">
      <c r="A667" s="53"/>
      <c r="B667" s="53"/>
      <c r="C667" s="53"/>
      <c r="D667" s="54"/>
      <c r="E667" s="54"/>
    </row>
    <row r="668">
      <c r="A668" s="53"/>
      <c r="B668" s="53"/>
      <c r="C668" s="53"/>
      <c r="D668" s="54"/>
      <c r="E668" s="54"/>
    </row>
    <row r="669">
      <c r="A669" s="53"/>
      <c r="B669" s="53"/>
      <c r="C669" s="53"/>
      <c r="D669" s="54"/>
      <c r="E669" s="54"/>
    </row>
    <row r="670">
      <c r="A670" s="53"/>
      <c r="B670" s="53"/>
      <c r="C670" s="53"/>
      <c r="D670" s="54"/>
      <c r="E670" s="54"/>
    </row>
    <row r="671">
      <c r="A671" s="53"/>
      <c r="B671" s="53"/>
      <c r="C671" s="53"/>
      <c r="D671" s="54"/>
      <c r="E671" s="54"/>
    </row>
    <row r="672">
      <c r="A672" s="53"/>
      <c r="B672" s="53"/>
      <c r="C672" s="53"/>
      <c r="D672" s="54"/>
      <c r="E672" s="54"/>
    </row>
    <row r="673">
      <c r="A673" s="53"/>
      <c r="B673" s="53"/>
      <c r="C673" s="53"/>
      <c r="D673" s="54"/>
      <c r="E673" s="54"/>
    </row>
    <row r="674">
      <c r="A674" s="53"/>
      <c r="B674" s="53"/>
      <c r="C674" s="53"/>
      <c r="D674" s="54"/>
      <c r="E674" s="54"/>
    </row>
    <row r="675">
      <c r="A675" s="53"/>
      <c r="B675" s="53"/>
      <c r="C675" s="53"/>
      <c r="D675" s="54"/>
      <c r="E675" s="54"/>
    </row>
    <row r="676">
      <c r="A676" s="53"/>
      <c r="B676" s="53"/>
      <c r="C676" s="53"/>
      <c r="D676" s="54"/>
      <c r="E676" s="54"/>
    </row>
    <row r="677">
      <c r="A677" s="53"/>
      <c r="B677" s="53"/>
      <c r="C677" s="53"/>
      <c r="D677" s="54"/>
      <c r="E677" s="54"/>
    </row>
    <row r="678">
      <c r="A678" s="53"/>
      <c r="B678" s="53"/>
      <c r="C678" s="53"/>
      <c r="D678" s="54"/>
      <c r="E678" s="54"/>
    </row>
    <row r="679">
      <c r="A679" s="53"/>
      <c r="B679" s="53"/>
      <c r="C679" s="53"/>
      <c r="D679" s="54"/>
      <c r="E679" s="54"/>
    </row>
    <row r="680">
      <c r="A680" s="53"/>
      <c r="B680" s="53"/>
      <c r="C680" s="53"/>
      <c r="D680" s="54"/>
      <c r="E680" s="54"/>
    </row>
    <row r="681">
      <c r="A681" s="53"/>
      <c r="B681" s="53"/>
      <c r="C681" s="53"/>
      <c r="D681" s="54"/>
      <c r="E681" s="54"/>
    </row>
    <row r="682">
      <c r="A682" s="53"/>
      <c r="B682" s="53"/>
      <c r="C682" s="53"/>
      <c r="D682" s="54"/>
      <c r="E682" s="54"/>
    </row>
    <row r="683">
      <c r="A683" s="53"/>
      <c r="B683" s="53"/>
      <c r="C683" s="53"/>
      <c r="D683" s="54"/>
      <c r="E683" s="54"/>
    </row>
    <row r="684">
      <c r="A684" s="53"/>
      <c r="B684" s="53"/>
      <c r="C684" s="53"/>
      <c r="D684" s="54"/>
      <c r="E684" s="54"/>
    </row>
    <row r="685">
      <c r="A685" s="53"/>
      <c r="B685" s="53"/>
      <c r="C685" s="53"/>
      <c r="D685" s="54"/>
      <c r="E685" s="54"/>
    </row>
    <row r="686">
      <c r="A686" s="53"/>
      <c r="B686" s="53"/>
      <c r="C686" s="53"/>
      <c r="D686" s="54"/>
      <c r="E686" s="54"/>
    </row>
    <row r="687">
      <c r="A687" s="53"/>
      <c r="B687" s="53"/>
      <c r="C687" s="53"/>
      <c r="D687" s="54"/>
      <c r="E687" s="54"/>
    </row>
    <row r="688">
      <c r="A688" s="53"/>
      <c r="B688" s="53"/>
      <c r="C688" s="53"/>
      <c r="D688" s="54"/>
      <c r="E688" s="54"/>
    </row>
    <row r="689">
      <c r="A689" s="53"/>
      <c r="B689" s="53"/>
      <c r="C689" s="53"/>
      <c r="D689" s="54"/>
      <c r="E689" s="54"/>
    </row>
    <row r="690">
      <c r="A690" s="53"/>
      <c r="B690" s="53"/>
      <c r="C690" s="53"/>
      <c r="D690" s="54"/>
      <c r="E690" s="54"/>
    </row>
    <row r="691">
      <c r="A691" s="53"/>
      <c r="B691" s="53"/>
      <c r="C691" s="53"/>
      <c r="D691" s="54"/>
      <c r="E691" s="54"/>
    </row>
    <row r="692">
      <c r="A692" s="53"/>
      <c r="B692" s="53"/>
      <c r="C692" s="53"/>
      <c r="D692" s="54"/>
      <c r="E692" s="54"/>
    </row>
    <row r="693">
      <c r="A693" s="53"/>
      <c r="B693" s="53"/>
      <c r="C693" s="53"/>
      <c r="D693" s="54"/>
      <c r="E693" s="54"/>
    </row>
    <row r="694">
      <c r="A694" s="53"/>
      <c r="B694" s="53"/>
      <c r="C694" s="53"/>
      <c r="D694" s="54"/>
      <c r="E694" s="54"/>
    </row>
    <row r="695">
      <c r="A695" s="53"/>
      <c r="B695" s="53"/>
      <c r="C695" s="53"/>
      <c r="D695" s="54"/>
      <c r="E695" s="54"/>
    </row>
    <row r="696">
      <c r="A696" s="53"/>
      <c r="B696" s="53"/>
      <c r="C696" s="53"/>
      <c r="D696" s="54"/>
      <c r="E696" s="54"/>
    </row>
    <row r="697">
      <c r="A697" s="53"/>
      <c r="B697" s="53"/>
      <c r="C697" s="53"/>
      <c r="D697" s="54"/>
      <c r="E697" s="54"/>
    </row>
    <row r="698">
      <c r="A698" s="53"/>
      <c r="B698" s="53"/>
      <c r="C698" s="53"/>
      <c r="D698" s="54"/>
      <c r="E698" s="54"/>
    </row>
    <row r="699">
      <c r="A699" s="53"/>
      <c r="B699" s="53"/>
      <c r="C699" s="53"/>
      <c r="D699" s="54"/>
      <c r="E699" s="54"/>
    </row>
    <row r="700">
      <c r="A700" s="53"/>
      <c r="B700" s="53"/>
      <c r="C700" s="53"/>
      <c r="D700" s="54"/>
      <c r="E700" s="54"/>
    </row>
    <row r="701">
      <c r="A701" s="53"/>
      <c r="B701" s="53"/>
      <c r="C701" s="53"/>
      <c r="D701" s="54"/>
      <c r="E701" s="54"/>
    </row>
    <row r="702">
      <c r="A702" s="53"/>
      <c r="B702" s="53"/>
      <c r="C702" s="53"/>
      <c r="D702" s="54"/>
      <c r="E702" s="54"/>
    </row>
    <row r="703">
      <c r="A703" s="53"/>
      <c r="B703" s="53"/>
      <c r="C703" s="53"/>
      <c r="D703" s="54"/>
      <c r="E703" s="54"/>
    </row>
    <row r="704">
      <c r="A704" s="53"/>
      <c r="B704" s="53"/>
      <c r="C704" s="53"/>
      <c r="D704" s="54"/>
      <c r="E704" s="54"/>
    </row>
    <row r="705">
      <c r="A705" s="53"/>
      <c r="B705" s="53"/>
      <c r="C705" s="53"/>
      <c r="D705" s="54"/>
      <c r="E705" s="54"/>
    </row>
    <row r="706">
      <c r="A706" s="53"/>
      <c r="B706" s="53"/>
      <c r="C706" s="53"/>
      <c r="D706" s="54"/>
      <c r="E706" s="54"/>
    </row>
    <row r="707">
      <c r="A707" s="53"/>
      <c r="B707" s="53"/>
      <c r="C707" s="53"/>
      <c r="D707" s="54"/>
      <c r="E707" s="54"/>
    </row>
    <row r="708">
      <c r="A708" s="53"/>
      <c r="B708" s="53"/>
      <c r="C708" s="53"/>
      <c r="D708" s="54"/>
      <c r="E708" s="54"/>
    </row>
    <row r="709">
      <c r="A709" s="53"/>
      <c r="B709" s="53"/>
      <c r="C709" s="53"/>
      <c r="D709" s="54"/>
      <c r="E709" s="54"/>
    </row>
    <row r="710">
      <c r="A710" s="53"/>
      <c r="B710" s="53"/>
      <c r="C710" s="53"/>
      <c r="D710" s="54"/>
      <c r="E710" s="54"/>
    </row>
    <row r="711">
      <c r="A711" s="53"/>
      <c r="B711" s="53"/>
      <c r="C711" s="53"/>
      <c r="D711" s="54"/>
      <c r="E711" s="54"/>
    </row>
    <row r="712">
      <c r="A712" s="53"/>
      <c r="B712" s="53"/>
      <c r="C712" s="53"/>
      <c r="D712" s="54"/>
      <c r="E712" s="54"/>
    </row>
    <row r="713">
      <c r="A713" s="53"/>
      <c r="B713" s="53"/>
      <c r="C713" s="53"/>
      <c r="D713" s="54"/>
      <c r="E713" s="54"/>
    </row>
    <row r="714">
      <c r="A714" s="53"/>
      <c r="B714" s="53"/>
      <c r="C714" s="53"/>
      <c r="D714" s="54"/>
      <c r="E714" s="54"/>
    </row>
    <row r="715">
      <c r="A715" s="53"/>
      <c r="B715" s="53"/>
      <c r="C715" s="53"/>
      <c r="D715" s="54"/>
      <c r="E715" s="54"/>
    </row>
    <row r="716">
      <c r="A716" s="53"/>
      <c r="B716" s="53"/>
      <c r="C716" s="53"/>
      <c r="D716" s="54"/>
      <c r="E716" s="54"/>
    </row>
    <row r="717">
      <c r="A717" s="53"/>
      <c r="B717" s="53"/>
      <c r="C717" s="53"/>
      <c r="D717" s="54"/>
      <c r="E717" s="54"/>
    </row>
    <row r="718">
      <c r="A718" s="53"/>
      <c r="B718" s="53"/>
      <c r="C718" s="53"/>
      <c r="D718" s="54"/>
      <c r="E718" s="54"/>
    </row>
    <row r="719">
      <c r="A719" s="53"/>
      <c r="B719" s="53"/>
      <c r="C719" s="53"/>
      <c r="D719" s="54"/>
      <c r="E719" s="54"/>
    </row>
    <row r="720">
      <c r="A720" s="53"/>
      <c r="B720" s="53"/>
      <c r="C720" s="53"/>
      <c r="D720" s="54"/>
      <c r="E720" s="54"/>
    </row>
    <row r="721">
      <c r="A721" s="53"/>
      <c r="B721" s="53"/>
      <c r="C721" s="53"/>
      <c r="D721" s="54"/>
      <c r="E721" s="54"/>
    </row>
    <row r="722">
      <c r="A722" s="53"/>
      <c r="B722" s="53"/>
      <c r="C722" s="53"/>
      <c r="D722" s="54"/>
      <c r="E722" s="54"/>
    </row>
    <row r="723">
      <c r="A723" s="53"/>
      <c r="B723" s="53"/>
      <c r="C723" s="53"/>
      <c r="D723" s="54"/>
      <c r="E723" s="54"/>
    </row>
    <row r="724">
      <c r="A724" s="53"/>
      <c r="B724" s="53"/>
      <c r="C724" s="53"/>
      <c r="D724" s="54"/>
      <c r="E724" s="54"/>
    </row>
    <row r="725">
      <c r="A725" s="53"/>
      <c r="B725" s="53"/>
      <c r="C725" s="53"/>
      <c r="D725" s="54"/>
      <c r="E725" s="54"/>
    </row>
    <row r="726">
      <c r="A726" s="53"/>
      <c r="B726" s="53"/>
      <c r="C726" s="53"/>
      <c r="D726" s="54"/>
      <c r="E726" s="54"/>
    </row>
    <row r="727">
      <c r="A727" s="53"/>
      <c r="B727" s="53"/>
      <c r="C727" s="53"/>
      <c r="D727" s="54"/>
      <c r="E727" s="54"/>
    </row>
    <row r="728">
      <c r="A728" s="53"/>
      <c r="B728" s="53"/>
      <c r="C728" s="53"/>
      <c r="D728" s="54"/>
      <c r="E728" s="54"/>
    </row>
    <row r="729">
      <c r="A729" s="53"/>
      <c r="B729" s="53"/>
      <c r="C729" s="53"/>
      <c r="D729" s="54"/>
      <c r="E729" s="54"/>
    </row>
    <row r="730">
      <c r="A730" s="53"/>
      <c r="B730" s="53"/>
      <c r="C730" s="53"/>
      <c r="D730" s="54"/>
      <c r="E730" s="54"/>
    </row>
    <row r="731">
      <c r="A731" s="53"/>
      <c r="B731" s="53"/>
      <c r="C731" s="53"/>
      <c r="D731" s="54"/>
      <c r="E731" s="54"/>
    </row>
    <row r="732">
      <c r="A732" s="53"/>
      <c r="B732" s="53"/>
      <c r="C732" s="53"/>
      <c r="D732" s="54"/>
      <c r="E732" s="54"/>
    </row>
    <row r="733">
      <c r="A733" s="53"/>
      <c r="B733" s="53"/>
      <c r="C733" s="53"/>
      <c r="D733" s="54"/>
      <c r="E733" s="54"/>
    </row>
    <row r="734">
      <c r="A734" s="53"/>
      <c r="B734" s="53"/>
      <c r="C734" s="53"/>
      <c r="D734" s="54"/>
      <c r="E734" s="54"/>
    </row>
    <row r="735">
      <c r="A735" s="53"/>
      <c r="B735" s="53"/>
      <c r="C735" s="53"/>
      <c r="D735" s="54"/>
      <c r="E735" s="54"/>
    </row>
    <row r="736">
      <c r="A736" s="53"/>
      <c r="B736" s="53"/>
      <c r="C736" s="53"/>
      <c r="D736" s="54"/>
      <c r="E736" s="54"/>
    </row>
    <row r="737">
      <c r="A737" s="53"/>
      <c r="B737" s="53"/>
      <c r="C737" s="53"/>
      <c r="D737" s="54"/>
      <c r="E737" s="54"/>
    </row>
    <row r="738">
      <c r="A738" s="53"/>
      <c r="B738" s="53"/>
      <c r="C738" s="53"/>
      <c r="D738" s="54"/>
      <c r="E738" s="54"/>
    </row>
    <row r="739">
      <c r="A739" s="53"/>
      <c r="B739" s="53"/>
      <c r="C739" s="53"/>
      <c r="D739" s="54"/>
      <c r="E739" s="54"/>
    </row>
    <row r="740">
      <c r="A740" s="53"/>
      <c r="B740" s="53"/>
      <c r="C740" s="53"/>
      <c r="D740" s="54"/>
      <c r="E740" s="54"/>
    </row>
    <row r="741">
      <c r="A741" s="53"/>
      <c r="B741" s="53"/>
      <c r="C741" s="53"/>
      <c r="D741" s="54"/>
      <c r="E741" s="54"/>
    </row>
    <row r="742">
      <c r="A742" s="53"/>
      <c r="B742" s="53"/>
      <c r="C742" s="53"/>
      <c r="D742" s="54"/>
      <c r="E742" s="54"/>
    </row>
    <row r="743">
      <c r="A743" s="53"/>
      <c r="B743" s="53"/>
      <c r="C743" s="53"/>
      <c r="D743" s="54"/>
      <c r="E743" s="54"/>
    </row>
    <row r="744">
      <c r="A744" s="53"/>
      <c r="B744" s="53"/>
      <c r="C744" s="53"/>
      <c r="D744" s="54"/>
      <c r="E744" s="54"/>
    </row>
    <row r="745">
      <c r="A745" s="53"/>
      <c r="B745" s="53"/>
      <c r="C745" s="53"/>
      <c r="D745" s="54"/>
      <c r="E745" s="54"/>
    </row>
    <row r="746">
      <c r="A746" s="53"/>
      <c r="B746" s="53"/>
      <c r="C746" s="53"/>
      <c r="D746" s="54"/>
      <c r="E746" s="54"/>
    </row>
    <row r="747">
      <c r="A747" s="53"/>
      <c r="B747" s="53"/>
      <c r="C747" s="53"/>
      <c r="D747" s="54"/>
      <c r="E747" s="54"/>
    </row>
    <row r="748">
      <c r="A748" s="53"/>
      <c r="B748" s="53"/>
      <c r="C748" s="53"/>
      <c r="D748" s="54"/>
      <c r="E748" s="54"/>
    </row>
    <row r="749">
      <c r="A749" s="53"/>
      <c r="B749" s="53"/>
      <c r="C749" s="53"/>
      <c r="D749" s="54"/>
      <c r="E749" s="54"/>
    </row>
    <row r="750">
      <c r="A750" s="53"/>
      <c r="B750" s="53"/>
      <c r="C750" s="53"/>
      <c r="D750" s="54"/>
      <c r="E750" s="54"/>
    </row>
    <row r="751">
      <c r="A751" s="53"/>
      <c r="B751" s="53"/>
      <c r="C751" s="53"/>
      <c r="D751" s="54"/>
      <c r="E751" s="54"/>
    </row>
    <row r="752">
      <c r="A752" s="53"/>
      <c r="B752" s="53"/>
      <c r="C752" s="53"/>
      <c r="D752" s="54"/>
      <c r="E752" s="54"/>
    </row>
    <row r="753">
      <c r="A753" s="53"/>
      <c r="B753" s="53"/>
      <c r="C753" s="53"/>
      <c r="D753" s="54"/>
      <c r="E753" s="54"/>
    </row>
    <row r="754">
      <c r="A754" s="53"/>
      <c r="B754" s="53"/>
      <c r="C754" s="53"/>
      <c r="D754" s="54"/>
      <c r="E754" s="54"/>
    </row>
    <row r="755">
      <c r="A755" s="53"/>
      <c r="B755" s="53"/>
      <c r="C755" s="53"/>
      <c r="D755" s="54"/>
      <c r="E755" s="54"/>
    </row>
    <row r="756">
      <c r="A756" s="53"/>
      <c r="B756" s="53"/>
      <c r="C756" s="53"/>
      <c r="D756" s="54"/>
      <c r="E756" s="54"/>
    </row>
    <row r="757">
      <c r="A757" s="53"/>
      <c r="B757" s="53"/>
      <c r="C757" s="53"/>
      <c r="D757" s="54"/>
      <c r="E757" s="54"/>
    </row>
    <row r="758">
      <c r="A758" s="53"/>
      <c r="B758" s="53"/>
      <c r="C758" s="53"/>
      <c r="D758" s="54"/>
      <c r="E758" s="54"/>
    </row>
    <row r="759">
      <c r="A759" s="53"/>
      <c r="B759" s="53"/>
      <c r="C759" s="53"/>
      <c r="D759" s="54"/>
      <c r="E759" s="54"/>
    </row>
    <row r="760">
      <c r="A760" s="53"/>
      <c r="B760" s="53"/>
      <c r="C760" s="53"/>
      <c r="D760" s="54"/>
      <c r="E760" s="54"/>
    </row>
    <row r="761">
      <c r="A761" s="53"/>
      <c r="B761" s="53"/>
      <c r="C761" s="53"/>
      <c r="D761" s="54"/>
      <c r="E761" s="54"/>
    </row>
    <row r="762">
      <c r="A762" s="53"/>
      <c r="B762" s="53"/>
      <c r="C762" s="53"/>
      <c r="D762" s="54"/>
      <c r="E762" s="54"/>
    </row>
    <row r="763">
      <c r="A763" s="53"/>
      <c r="B763" s="53"/>
      <c r="C763" s="53"/>
      <c r="D763" s="54"/>
      <c r="E763" s="54"/>
    </row>
    <row r="764">
      <c r="A764" s="53"/>
      <c r="B764" s="53"/>
      <c r="C764" s="53"/>
      <c r="D764" s="54"/>
      <c r="E764" s="54"/>
    </row>
    <row r="765">
      <c r="A765" s="53"/>
      <c r="B765" s="53"/>
      <c r="C765" s="53"/>
      <c r="D765" s="54"/>
      <c r="E765" s="54"/>
    </row>
    <row r="766">
      <c r="A766" s="53"/>
      <c r="B766" s="53"/>
      <c r="C766" s="53"/>
      <c r="D766" s="54"/>
      <c r="E766" s="54"/>
    </row>
    <row r="767">
      <c r="A767" s="53"/>
      <c r="B767" s="53"/>
      <c r="C767" s="53"/>
      <c r="D767" s="54"/>
      <c r="E767" s="54"/>
    </row>
    <row r="768">
      <c r="A768" s="53"/>
      <c r="B768" s="53"/>
      <c r="C768" s="53"/>
      <c r="D768" s="54"/>
      <c r="E768" s="54"/>
    </row>
    <row r="769">
      <c r="A769" s="53"/>
      <c r="B769" s="53"/>
      <c r="C769" s="53"/>
      <c r="D769" s="54"/>
      <c r="E769" s="54"/>
    </row>
    <row r="770">
      <c r="A770" s="53"/>
      <c r="B770" s="53"/>
      <c r="C770" s="53"/>
      <c r="D770" s="54"/>
      <c r="E770" s="54"/>
    </row>
    <row r="771">
      <c r="A771" s="53"/>
      <c r="B771" s="53"/>
      <c r="C771" s="53"/>
      <c r="D771" s="54"/>
      <c r="E771" s="54"/>
    </row>
    <row r="772">
      <c r="A772" s="53"/>
      <c r="B772" s="53"/>
      <c r="C772" s="53"/>
      <c r="D772" s="54"/>
      <c r="E772" s="54"/>
    </row>
    <row r="773">
      <c r="A773" s="53"/>
      <c r="B773" s="53"/>
      <c r="C773" s="53"/>
      <c r="D773" s="54"/>
      <c r="E773" s="54"/>
    </row>
    <row r="774">
      <c r="A774" s="53"/>
      <c r="B774" s="53"/>
      <c r="C774" s="53"/>
      <c r="D774" s="54"/>
      <c r="E774" s="54"/>
    </row>
    <row r="775">
      <c r="A775" s="53"/>
      <c r="B775" s="53"/>
      <c r="C775" s="53"/>
      <c r="D775" s="54"/>
      <c r="E775" s="54"/>
    </row>
    <row r="776">
      <c r="A776" s="53"/>
      <c r="B776" s="53"/>
      <c r="C776" s="53"/>
      <c r="D776" s="54"/>
      <c r="E776" s="54"/>
    </row>
    <row r="777">
      <c r="A777" s="53"/>
      <c r="B777" s="53"/>
      <c r="C777" s="53"/>
      <c r="D777" s="54"/>
      <c r="E777" s="54"/>
    </row>
    <row r="778">
      <c r="A778" s="53"/>
      <c r="B778" s="53"/>
      <c r="C778" s="53"/>
      <c r="D778" s="54"/>
      <c r="E778" s="54"/>
    </row>
    <row r="779">
      <c r="A779" s="53"/>
      <c r="B779" s="53"/>
      <c r="C779" s="53"/>
      <c r="D779" s="54"/>
      <c r="E779" s="54"/>
    </row>
    <row r="780">
      <c r="A780" s="53"/>
      <c r="B780" s="53"/>
      <c r="C780" s="53"/>
      <c r="D780" s="54"/>
      <c r="E780" s="54"/>
    </row>
    <row r="781">
      <c r="A781" s="53"/>
      <c r="B781" s="53"/>
      <c r="C781" s="53"/>
      <c r="D781" s="54"/>
      <c r="E781" s="54"/>
    </row>
    <row r="782">
      <c r="A782" s="53"/>
      <c r="B782" s="53"/>
      <c r="C782" s="53"/>
      <c r="D782" s="54"/>
      <c r="E782" s="54"/>
    </row>
    <row r="783">
      <c r="A783" s="53"/>
      <c r="B783" s="53"/>
      <c r="C783" s="53"/>
      <c r="D783" s="54"/>
      <c r="E783" s="54"/>
    </row>
    <row r="784">
      <c r="A784" s="53"/>
      <c r="B784" s="53"/>
      <c r="C784" s="53"/>
      <c r="D784" s="54"/>
      <c r="E784" s="54"/>
    </row>
    <row r="785">
      <c r="A785" s="53"/>
      <c r="B785" s="53"/>
      <c r="C785" s="53"/>
      <c r="D785" s="54"/>
      <c r="E785" s="54"/>
    </row>
    <row r="786">
      <c r="A786" s="53"/>
      <c r="B786" s="53"/>
      <c r="C786" s="53"/>
      <c r="D786" s="54"/>
      <c r="E786" s="54"/>
    </row>
    <row r="787">
      <c r="A787" s="53"/>
      <c r="B787" s="53"/>
      <c r="C787" s="53"/>
      <c r="D787" s="54"/>
      <c r="E787" s="54"/>
    </row>
    <row r="788">
      <c r="A788" s="53"/>
      <c r="B788" s="53"/>
      <c r="C788" s="53"/>
      <c r="D788" s="54"/>
      <c r="E788" s="54"/>
    </row>
    <row r="789">
      <c r="A789" s="53"/>
      <c r="B789" s="53"/>
      <c r="C789" s="53"/>
      <c r="D789" s="54"/>
      <c r="E789" s="54"/>
    </row>
    <row r="790">
      <c r="A790" s="53"/>
      <c r="B790" s="53"/>
      <c r="C790" s="53"/>
      <c r="D790" s="54"/>
      <c r="E790" s="54"/>
    </row>
    <row r="791">
      <c r="A791" s="53"/>
      <c r="B791" s="53"/>
      <c r="C791" s="53"/>
      <c r="D791" s="54"/>
      <c r="E791" s="54"/>
    </row>
    <row r="792">
      <c r="A792" s="53"/>
      <c r="B792" s="53"/>
      <c r="C792" s="53"/>
      <c r="D792" s="54"/>
      <c r="E792" s="54"/>
    </row>
    <row r="793">
      <c r="A793" s="53"/>
      <c r="B793" s="53"/>
      <c r="C793" s="53"/>
      <c r="D793" s="54"/>
      <c r="E793" s="54"/>
    </row>
    <row r="794">
      <c r="A794" s="53"/>
      <c r="B794" s="53"/>
      <c r="C794" s="53"/>
      <c r="D794" s="54"/>
      <c r="E794" s="54"/>
    </row>
    <row r="795">
      <c r="A795" s="53"/>
      <c r="B795" s="53"/>
      <c r="C795" s="53"/>
      <c r="D795" s="54"/>
      <c r="E795" s="54"/>
    </row>
    <row r="796">
      <c r="A796" s="53"/>
      <c r="B796" s="53"/>
      <c r="C796" s="53"/>
      <c r="D796" s="54"/>
      <c r="E796" s="54"/>
    </row>
    <row r="797">
      <c r="A797" s="53"/>
      <c r="B797" s="53"/>
      <c r="C797" s="53"/>
      <c r="D797" s="54"/>
      <c r="E797" s="54"/>
    </row>
    <row r="798">
      <c r="A798" s="53"/>
      <c r="B798" s="53"/>
      <c r="C798" s="53"/>
      <c r="D798" s="54"/>
      <c r="E798" s="54"/>
    </row>
    <row r="799">
      <c r="A799" s="53"/>
      <c r="B799" s="53"/>
      <c r="C799" s="53"/>
      <c r="D799" s="54"/>
      <c r="E799" s="54"/>
    </row>
    <row r="800">
      <c r="A800" s="53"/>
      <c r="B800" s="53"/>
      <c r="C800" s="53"/>
      <c r="D800" s="54"/>
      <c r="E800" s="54"/>
    </row>
    <row r="801">
      <c r="A801" s="53"/>
      <c r="B801" s="53"/>
      <c r="C801" s="53"/>
      <c r="D801" s="54"/>
      <c r="E801" s="54"/>
    </row>
    <row r="802">
      <c r="A802" s="53"/>
      <c r="B802" s="53"/>
      <c r="C802" s="53"/>
      <c r="D802" s="54"/>
      <c r="E802" s="54"/>
    </row>
    <row r="803">
      <c r="A803" s="53"/>
      <c r="B803" s="53"/>
      <c r="C803" s="53"/>
      <c r="D803" s="54"/>
      <c r="E803" s="54"/>
    </row>
    <row r="804">
      <c r="A804" s="53"/>
      <c r="B804" s="53"/>
      <c r="C804" s="53"/>
      <c r="D804" s="54"/>
      <c r="E804" s="54"/>
    </row>
    <row r="805">
      <c r="A805" s="53"/>
      <c r="B805" s="53"/>
      <c r="C805" s="53"/>
      <c r="D805" s="54"/>
      <c r="E805" s="54"/>
    </row>
    <row r="806">
      <c r="A806" s="53"/>
      <c r="B806" s="53"/>
      <c r="C806" s="53"/>
      <c r="D806" s="54"/>
      <c r="E806" s="54"/>
    </row>
    <row r="807">
      <c r="A807" s="53"/>
      <c r="B807" s="53"/>
      <c r="C807" s="53"/>
      <c r="D807" s="54"/>
      <c r="E807" s="54"/>
    </row>
    <row r="808">
      <c r="A808" s="53"/>
      <c r="B808" s="53"/>
      <c r="C808" s="53"/>
      <c r="D808" s="54"/>
      <c r="E808" s="54"/>
    </row>
    <row r="809">
      <c r="A809" s="53"/>
      <c r="B809" s="53"/>
      <c r="C809" s="53"/>
      <c r="D809" s="54"/>
      <c r="E809" s="54"/>
    </row>
    <row r="810">
      <c r="A810" s="53"/>
      <c r="B810" s="53"/>
      <c r="C810" s="53"/>
      <c r="D810" s="54"/>
      <c r="E810" s="54"/>
    </row>
    <row r="811">
      <c r="A811" s="53"/>
      <c r="B811" s="53"/>
      <c r="C811" s="53"/>
      <c r="D811" s="54"/>
      <c r="E811" s="54"/>
    </row>
    <row r="812">
      <c r="A812" s="53"/>
      <c r="B812" s="53"/>
      <c r="C812" s="53"/>
      <c r="D812" s="54"/>
      <c r="E812" s="54"/>
    </row>
    <row r="813">
      <c r="A813" s="53"/>
      <c r="B813" s="53"/>
      <c r="C813" s="53"/>
      <c r="D813" s="54"/>
      <c r="E813" s="54"/>
    </row>
    <row r="814">
      <c r="A814" s="53"/>
      <c r="B814" s="53"/>
      <c r="C814" s="53"/>
      <c r="D814" s="54"/>
      <c r="E814" s="54"/>
    </row>
    <row r="815">
      <c r="A815" s="53"/>
      <c r="B815" s="53"/>
      <c r="C815" s="53"/>
      <c r="D815" s="54"/>
      <c r="E815" s="54"/>
    </row>
    <row r="816">
      <c r="A816" s="53"/>
      <c r="B816" s="53"/>
      <c r="C816" s="53"/>
      <c r="D816" s="54"/>
      <c r="E816" s="54"/>
    </row>
    <row r="817">
      <c r="A817" s="53"/>
      <c r="B817" s="53"/>
      <c r="C817" s="53"/>
      <c r="D817" s="54"/>
      <c r="E817" s="54"/>
    </row>
    <row r="818">
      <c r="A818" s="53"/>
      <c r="B818" s="53"/>
      <c r="C818" s="53"/>
      <c r="D818" s="54"/>
      <c r="E818" s="54"/>
    </row>
    <row r="819">
      <c r="A819" s="53"/>
      <c r="B819" s="53"/>
      <c r="C819" s="53"/>
      <c r="D819" s="54"/>
      <c r="E819" s="54"/>
    </row>
    <row r="820">
      <c r="A820" s="53"/>
      <c r="B820" s="53"/>
      <c r="C820" s="53"/>
      <c r="D820" s="54"/>
      <c r="E820" s="54"/>
    </row>
    <row r="821">
      <c r="A821" s="53"/>
      <c r="B821" s="53"/>
      <c r="C821" s="53"/>
      <c r="D821" s="54"/>
      <c r="E821" s="54"/>
    </row>
    <row r="822">
      <c r="A822" s="53"/>
      <c r="B822" s="53"/>
      <c r="C822" s="53"/>
      <c r="D822" s="54"/>
      <c r="E822" s="54"/>
    </row>
    <row r="823">
      <c r="A823" s="53"/>
      <c r="B823" s="53"/>
      <c r="C823" s="53"/>
      <c r="D823" s="54"/>
      <c r="E823" s="54"/>
    </row>
    <row r="824">
      <c r="A824" s="53"/>
      <c r="B824" s="53"/>
      <c r="C824" s="53"/>
      <c r="D824" s="54"/>
      <c r="E824" s="54"/>
    </row>
    <row r="825">
      <c r="A825" s="53"/>
      <c r="B825" s="53"/>
      <c r="C825" s="53"/>
      <c r="D825" s="54"/>
      <c r="E825" s="54"/>
    </row>
    <row r="826">
      <c r="A826" s="53"/>
      <c r="B826" s="53"/>
      <c r="C826" s="53"/>
      <c r="D826" s="54"/>
      <c r="E826" s="54"/>
    </row>
    <row r="827">
      <c r="A827" s="53"/>
      <c r="B827" s="53"/>
      <c r="C827" s="53"/>
      <c r="D827" s="54"/>
      <c r="E827" s="54"/>
    </row>
    <row r="828">
      <c r="A828" s="53"/>
      <c r="B828" s="53"/>
      <c r="C828" s="53"/>
      <c r="D828" s="54"/>
      <c r="E828" s="54"/>
    </row>
    <row r="829">
      <c r="A829" s="53"/>
      <c r="B829" s="53"/>
      <c r="C829" s="53"/>
      <c r="D829" s="54"/>
      <c r="E829" s="54"/>
    </row>
    <row r="830">
      <c r="A830" s="53"/>
      <c r="B830" s="53"/>
      <c r="C830" s="53"/>
      <c r="D830" s="54"/>
      <c r="E830" s="54"/>
    </row>
    <row r="831">
      <c r="A831" s="53"/>
      <c r="B831" s="53"/>
      <c r="C831" s="53"/>
      <c r="D831" s="54"/>
      <c r="E831" s="54"/>
    </row>
    <row r="832">
      <c r="A832" s="53"/>
      <c r="B832" s="53"/>
      <c r="C832" s="53"/>
      <c r="D832" s="54"/>
      <c r="E832" s="54"/>
    </row>
    <row r="833">
      <c r="A833" s="53"/>
      <c r="B833" s="53"/>
      <c r="C833" s="53"/>
      <c r="D833" s="54"/>
      <c r="E833" s="54"/>
    </row>
    <row r="834">
      <c r="A834" s="53"/>
      <c r="B834" s="53"/>
      <c r="C834" s="53"/>
      <c r="D834" s="54"/>
      <c r="E834" s="54"/>
    </row>
    <row r="835">
      <c r="A835" s="53"/>
      <c r="B835" s="53"/>
      <c r="C835" s="53"/>
      <c r="D835" s="54"/>
      <c r="E835" s="54"/>
    </row>
    <row r="836">
      <c r="A836" s="53"/>
      <c r="B836" s="53"/>
      <c r="C836" s="53"/>
      <c r="D836" s="54"/>
      <c r="E836" s="54"/>
    </row>
    <row r="837">
      <c r="A837" s="53"/>
      <c r="B837" s="53"/>
      <c r="C837" s="53"/>
      <c r="D837" s="54"/>
      <c r="E837" s="54"/>
    </row>
    <row r="838">
      <c r="A838" s="53"/>
      <c r="B838" s="53"/>
      <c r="C838" s="53"/>
      <c r="D838" s="54"/>
      <c r="E838" s="54"/>
    </row>
    <row r="839">
      <c r="A839" s="53"/>
      <c r="B839" s="53"/>
      <c r="C839" s="53"/>
      <c r="D839" s="54"/>
      <c r="E839" s="54"/>
    </row>
    <row r="840">
      <c r="A840" s="53"/>
      <c r="B840" s="53"/>
      <c r="C840" s="53"/>
      <c r="D840" s="54"/>
      <c r="E840" s="54"/>
    </row>
    <row r="841">
      <c r="A841" s="53"/>
      <c r="B841" s="53"/>
      <c r="C841" s="53"/>
      <c r="D841" s="54"/>
      <c r="E841" s="54"/>
    </row>
    <row r="842">
      <c r="A842" s="53"/>
      <c r="B842" s="53"/>
      <c r="C842" s="53"/>
      <c r="D842" s="54"/>
      <c r="E842" s="54"/>
    </row>
    <row r="843">
      <c r="A843" s="53"/>
      <c r="B843" s="53"/>
      <c r="C843" s="53"/>
      <c r="D843" s="54"/>
      <c r="E843" s="54"/>
    </row>
    <row r="844">
      <c r="A844" s="53"/>
      <c r="B844" s="53"/>
      <c r="C844" s="53"/>
      <c r="D844" s="54"/>
      <c r="E844" s="54"/>
    </row>
    <row r="845">
      <c r="A845" s="53"/>
      <c r="B845" s="53"/>
      <c r="C845" s="53"/>
      <c r="D845" s="54"/>
      <c r="E845" s="54"/>
    </row>
    <row r="846">
      <c r="A846" s="53"/>
      <c r="B846" s="53"/>
      <c r="C846" s="53"/>
      <c r="D846" s="54"/>
      <c r="E846" s="54"/>
    </row>
    <row r="847">
      <c r="A847" s="53"/>
      <c r="B847" s="53"/>
      <c r="C847" s="53"/>
      <c r="D847" s="54"/>
      <c r="E847" s="54"/>
    </row>
    <row r="848">
      <c r="A848" s="53"/>
      <c r="B848" s="53"/>
      <c r="C848" s="53"/>
      <c r="D848" s="54"/>
      <c r="E848" s="54"/>
    </row>
    <row r="849">
      <c r="A849" s="53"/>
      <c r="B849" s="53"/>
      <c r="C849" s="53"/>
      <c r="D849" s="54"/>
      <c r="E849" s="54"/>
    </row>
    <row r="850">
      <c r="A850" s="53"/>
      <c r="B850" s="53"/>
      <c r="C850" s="53"/>
      <c r="D850" s="54"/>
      <c r="E850" s="54"/>
    </row>
    <row r="851">
      <c r="A851" s="53"/>
      <c r="B851" s="53"/>
      <c r="C851" s="53"/>
      <c r="D851" s="54"/>
      <c r="E851" s="54"/>
    </row>
    <row r="852">
      <c r="A852" s="53"/>
      <c r="B852" s="53"/>
      <c r="C852" s="53"/>
      <c r="D852" s="54"/>
      <c r="E852" s="54"/>
    </row>
    <row r="853">
      <c r="A853" s="53"/>
      <c r="B853" s="53"/>
      <c r="C853" s="53"/>
      <c r="D853" s="54"/>
      <c r="E853" s="54"/>
    </row>
    <row r="854">
      <c r="A854" s="53"/>
      <c r="B854" s="53"/>
      <c r="C854" s="53"/>
      <c r="D854" s="54"/>
      <c r="E854" s="54"/>
    </row>
    <row r="855">
      <c r="A855" s="53"/>
      <c r="B855" s="53"/>
      <c r="C855" s="53"/>
      <c r="D855" s="54"/>
      <c r="E855" s="54"/>
    </row>
    <row r="856">
      <c r="A856" s="53"/>
      <c r="B856" s="53"/>
      <c r="C856" s="53"/>
      <c r="D856" s="54"/>
      <c r="E856" s="54"/>
    </row>
    <row r="857">
      <c r="A857" s="53"/>
      <c r="B857" s="53"/>
      <c r="C857" s="53"/>
      <c r="D857" s="54"/>
      <c r="E857" s="54"/>
    </row>
    <row r="858">
      <c r="A858" s="53"/>
      <c r="B858" s="53"/>
      <c r="C858" s="53"/>
      <c r="D858" s="54"/>
      <c r="E858" s="54"/>
    </row>
    <row r="859">
      <c r="A859" s="53"/>
      <c r="B859" s="53"/>
      <c r="C859" s="53"/>
      <c r="D859" s="54"/>
      <c r="E859" s="54"/>
    </row>
    <row r="860">
      <c r="A860" s="53"/>
      <c r="B860" s="53"/>
      <c r="C860" s="53"/>
      <c r="D860" s="54"/>
      <c r="E860" s="54"/>
    </row>
    <row r="861">
      <c r="A861" s="53"/>
      <c r="B861" s="53"/>
      <c r="C861" s="53"/>
      <c r="D861" s="54"/>
      <c r="E861" s="54"/>
    </row>
    <row r="862">
      <c r="A862" s="53"/>
      <c r="B862" s="53"/>
      <c r="C862" s="53"/>
      <c r="D862" s="54"/>
      <c r="E862" s="54"/>
    </row>
    <row r="863">
      <c r="A863" s="53"/>
      <c r="B863" s="53"/>
      <c r="C863" s="53"/>
      <c r="D863" s="54"/>
      <c r="E863" s="54"/>
    </row>
    <row r="864">
      <c r="A864" s="53"/>
      <c r="B864" s="53"/>
      <c r="C864" s="53"/>
      <c r="D864" s="54"/>
      <c r="E864" s="54"/>
    </row>
    <row r="865">
      <c r="A865" s="53"/>
      <c r="B865" s="53"/>
      <c r="C865" s="53"/>
      <c r="D865" s="54"/>
      <c r="E865" s="54"/>
    </row>
    <row r="866">
      <c r="A866" s="53"/>
      <c r="B866" s="53"/>
      <c r="C866" s="53"/>
      <c r="D866" s="54"/>
      <c r="E866" s="54"/>
    </row>
    <row r="867">
      <c r="A867" s="53"/>
      <c r="B867" s="53"/>
      <c r="C867" s="53"/>
      <c r="D867" s="54"/>
      <c r="E867" s="54"/>
    </row>
    <row r="868">
      <c r="A868" s="53"/>
      <c r="B868" s="53"/>
      <c r="C868" s="53"/>
      <c r="D868" s="54"/>
      <c r="E868" s="54"/>
    </row>
    <row r="869">
      <c r="A869" s="53"/>
      <c r="B869" s="53"/>
      <c r="C869" s="53"/>
      <c r="D869" s="54"/>
      <c r="E869" s="54"/>
    </row>
    <row r="870">
      <c r="A870" s="53"/>
      <c r="B870" s="53"/>
      <c r="C870" s="53"/>
      <c r="D870" s="54"/>
      <c r="E870" s="54"/>
    </row>
    <row r="871">
      <c r="A871" s="53"/>
      <c r="B871" s="53"/>
      <c r="C871" s="53"/>
      <c r="D871" s="54"/>
      <c r="E871" s="54"/>
    </row>
    <row r="872">
      <c r="A872" s="53"/>
      <c r="B872" s="53"/>
      <c r="C872" s="53"/>
      <c r="D872" s="54"/>
      <c r="E872" s="54"/>
    </row>
    <row r="873">
      <c r="A873" s="53"/>
      <c r="B873" s="53"/>
      <c r="C873" s="53"/>
      <c r="D873" s="54"/>
      <c r="E873" s="54"/>
    </row>
    <row r="874">
      <c r="A874" s="53"/>
      <c r="B874" s="53"/>
      <c r="C874" s="53"/>
      <c r="D874" s="54"/>
      <c r="E874" s="54"/>
    </row>
    <row r="875">
      <c r="A875" s="53"/>
      <c r="B875" s="53"/>
      <c r="C875" s="53"/>
      <c r="D875" s="54"/>
      <c r="E875" s="54"/>
    </row>
    <row r="876">
      <c r="A876" s="53"/>
      <c r="B876" s="53"/>
      <c r="C876" s="53"/>
      <c r="D876" s="54"/>
      <c r="E876" s="54"/>
    </row>
    <row r="877">
      <c r="A877" s="53"/>
      <c r="B877" s="53"/>
      <c r="C877" s="53"/>
      <c r="D877" s="54"/>
      <c r="E877" s="54"/>
    </row>
    <row r="878">
      <c r="A878" s="53"/>
      <c r="B878" s="53"/>
      <c r="C878" s="53"/>
      <c r="D878" s="54"/>
      <c r="E878" s="54"/>
    </row>
    <row r="879">
      <c r="A879" s="53"/>
      <c r="B879" s="53"/>
      <c r="C879" s="53"/>
      <c r="D879" s="54"/>
      <c r="E879" s="54"/>
    </row>
    <row r="880">
      <c r="A880" s="53"/>
      <c r="B880" s="53"/>
      <c r="C880" s="53"/>
      <c r="D880" s="54"/>
      <c r="E880" s="54"/>
    </row>
    <row r="881">
      <c r="A881" s="53"/>
      <c r="B881" s="53"/>
      <c r="C881" s="53"/>
      <c r="D881" s="54"/>
      <c r="E881" s="54"/>
    </row>
    <row r="882">
      <c r="A882" s="53"/>
      <c r="B882" s="53"/>
      <c r="C882" s="53"/>
      <c r="D882" s="54"/>
      <c r="E882" s="54"/>
    </row>
    <row r="883">
      <c r="A883" s="53"/>
      <c r="B883" s="53"/>
      <c r="C883" s="53"/>
      <c r="D883" s="54"/>
      <c r="E883" s="54"/>
    </row>
    <row r="884">
      <c r="A884" s="53"/>
      <c r="B884" s="53"/>
      <c r="C884" s="53"/>
      <c r="D884" s="54"/>
      <c r="E884" s="54"/>
    </row>
    <row r="885">
      <c r="A885" s="53"/>
      <c r="B885" s="53"/>
      <c r="C885" s="53"/>
      <c r="D885" s="54"/>
      <c r="E885" s="54"/>
    </row>
    <row r="886">
      <c r="A886" s="53"/>
      <c r="B886" s="53"/>
      <c r="C886" s="53"/>
      <c r="D886" s="54"/>
      <c r="E886" s="54"/>
    </row>
    <row r="887">
      <c r="A887" s="53"/>
      <c r="B887" s="53"/>
      <c r="C887" s="53"/>
      <c r="D887" s="54"/>
      <c r="E887" s="54"/>
    </row>
    <row r="888">
      <c r="A888" s="53"/>
      <c r="B888" s="53"/>
      <c r="C888" s="53"/>
      <c r="D888" s="54"/>
      <c r="E888" s="54"/>
    </row>
    <row r="889">
      <c r="A889" s="53"/>
      <c r="B889" s="53"/>
      <c r="C889" s="53"/>
      <c r="D889" s="54"/>
      <c r="E889" s="54"/>
    </row>
    <row r="890">
      <c r="A890" s="53"/>
      <c r="B890" s="53"/>
      <c r="C890" s="53"/>
      <c r="D890" s="54"/>
      <c r="E890" s="54"/>
    </row>
    <row r="891">
      <c r="A891" s="53"/>
      <c r="B891" s="53"/>
      <c r="C891" s="53"/>
      <c r="D891" s="54"/>
      <c r="E891" s="54"/>
    </row>
    <row r="892">
      <c r="A892" s="53"/>
      <c r="B892" s="53"/>
      <c r="C892" s="53"/>
      <c r="D892" s="54"/>
      <c r="E892" s="54"/>
    </row>
    <row r="893">
      <c r="A893" s="53"/>
      <c r="B893" s="53"/>
      <c r="C893" s="53"/>
      <c r="D893" s="54"/>
      <c r="E893" s="54"/>
    </row>
    <row r="894">
      <c r="A894" s="53"/>
      <c r="B894" s="53"/>
      <c r="C894" s="53"/>
      <c r="D894" s="54"/>
      <c r="E894" s="54"/>
    </row>
    <row r="895">
      <c r="A895" s="53"/>
      <c r="B895" s="53"/>
      <c r="C895" s="53"/>
      <c r="D895" s="54"/>
      <c r="E895" s="54"/>
    </row>
    <row r="896">
      <c r="A896" s="53"/>
      <c r="B896" s="53"/>
      <c r="C896" s="53"/>
      <c r="D896" s="54"/>
      <c r="E896" s="54"/>
    </row>
    <row r="897">
      <c r="A897" s="53"/>
      <c r="B897" s="53"/>
      <c r="C897" s="53"/>
      <c r="D897" s="54"/>
      <c r="E897" s="54"/>
    </row>
    <row r="898">
      <c r="A898" s="53"/>
      <c r="B898" s="53"/>
      <c r="C898" s="53"/>
      <c r="D898" s="54"/>
      <c r="E898" s="54"/>
    </row>
    <row r="899">
      <c r="A899" s="53"/>
      <c r="B899" s="53"/>
      <c r="C899" s="53"/>
      <c r="D899" s="54"/>
      <c r="E899" s="54"/>
    </row>
    <row r="900">
      <c r="A900" s="53"/>
      <c r="B900" s="53"/>
      <c r="C900" s="53"/>
      <c r="D900" s="54"/>
      <c r="E900" s="54"/>
    </row>
    <row r="901">
      <c r="A901" s="53"/>
      <c r="B901" s="53"/>
      <c r="C901" s="53"/>
      <c r="D901" s="54"/>
      <c r="E901" s="54"/>
    </row>
    <row r="902">
      <c r="A902" s="53"/>
      <c r="B902" s="53"/>
      <c r="C902" s="53"/>
      <c r="D902" s="54"/>
      <c r="E902" s="54"/>
    </row>
    <row r="903">
      <c r="A903" s="53"/>
      <c r="B903" s="53"/>
      <c r="C903" s="53"/>
      <c r="D903" s="54"/>
      <c r="E903" s="54"/>
    </row>
    <row r="904">
      <c r="A904" s="53"/>
      <c r="B904" s="53"/>
      <c r="C904" s="53"/>
      <c r="D904" s="54"/>
      <c r="E904" s="54"/>
    </row>
    <row r="905">
      <c r="A905" s="53"/>
      <c r="B905" s="53"/>
      <c r="C905" s="53"/>
      <c r="D905" s="54"/>
      <c r="E905" s="54"/>
    </row>
    <row r="906">
      <c r="A906" s="53"/>
      <c r="B906" s="53"/>
      <c r="C906" s="53"/>
      <c r="D906" s="54"/>
      <c r="E906" s="54"/>
    </row>
    <row r="907">
      <c r="A907" s="53"/>
      <c r="B907" s="53"/>
      <c r="C907" s="53"/>
      <c r="D907" s="54"/>
      <c r="E907" s="54"/>
    </row>
    <row r="908">
      <c r="A908" s="53"/>
      <c r="B908" s="53"/>
      <c r="C908" s="53"/>
      <c r="D908" s="54"/>
      <c r="E908" s="54"/>
    </row>
    <row r="909">
      <c r="A909" s="53"/>
      <c r="B909" s="53"/>
      <c r="C909" s="53"/>
      <c r="D909" s="54"/>
      <c r="E909" s="54"/>
    </row>
    <row r="910">
      <c r="A910" s="53"/>
      <c r="B910" s="53"/>
      <c r="C910" s="53"/>
      <c r="D910" s="54"/>
      <c r="E910" s="54"/>
    </row>
    <row r="911">
      <c r="A911" s="53"/>
      <c r="B911" s="53"/>
      <c r="C911" s="53"/>
      <c r="D911" s="54"/>
      <c r="E911" s="54"/>
    </row>
    <row r="912">
      <c r="A912" s="53"/>
      <c r="B912" s="53"/>
      <c r="C912" s="53"/>
      <c r="D912" s="54"/>
      <c r="E912" s="54"/>
    </row>
    <row r="913">
      <c r="A913" s="53"/>
      <c r="B913" s="53"/>
      <c r="C913" s="53"/>
      <c r="D913" s="54"/>
      <c r="E913" s="54"/>
    </row>
    <row r="914">
      <c r="A914" s="53"/>
      <c r="B914" s="53"/>
      <c r="C914" s="53"/>
      <c r="D914" s="54"/>
      <c r="E914" s="54"/>
    </row>
    <row r="915">
      <c r="A915" s="53"/>
      <c r="B915" s="53"/>
      <c r="C915" s="53"/>
      <c r="D915" s="54"/>
      <c r="E915" s="54"/>
    </row>
    <row r="916">
      <c r="A916" s="53"/>
      <c r="B916" s="53"/>
      <c r="C916" s="53"/>
      <c r="D916" s="54"/>
      <c r="E916" s="54"/>
    </row>
    <row r="917">
      <c r="A917" s="53"/>
      <c r="B917" s="53"/>
      <c r="C917" s="53"/>
      <c r="D917" s="54"/>
      <c r="E917" s="54"/>
    </row>
    <row r="918">
      <c r="A918" s="53"/>
      <c r="B918" s="53"/>
      <c r="C918" s="53"/>
      <c r="D918" s="54"/>
      <c r="E918" s="54"/>
    </row>
    <row r="919">
      <c r="A919" s="53"/>
      <c r="B919" s="53"/>
      <c r="C919" s="53"/>
      <c r="D919" s="54"/>
      <c r="E919" s="54"/>
    </row>
    <row r="920">
      <c r="A920" s="53"/>
      <c r="B920" s="53"/>
      <c r="C920" s="53"/>
      <c r="D920" s="54"/>
      <c r="E920" s="54"/>
    </row>
    <row r="921">
      <c r="A921" s="53"/>
      <c r="B921" s="53"/>
      <c r="C921" s="53"/>
      <c r="D921" s="54"/>
      <c r="E921" s="54"/>
    </row>
    <row r="922">
      <c r="A922" s="53"/>
      <c r="B922" s="53"/>
      <c r="C922" s="53"/>
      <c r="D922" s="54"/>
      <c r="E922" s="54"/>
    </row>
    <row r="923">
      <c r="A923" s="53"/>
      <c r="B923" s="53"/>
      <c r="C923" s="53"/>
      <c r="D923" s="54"/>
      <c r="E923" s="54"/>
    </row>
    <row r="924">
      <c r="A924" s="53"/>
      <c r="B924" s="53"/>
      <c r="C924" s="53"/>
      <c r="D924" s="54"/>
      <c r="E924" s="54"/>
    </row>
    <row r="925">
      <c r="A925" s="53"/>
      <c r="B925" s="53"/>
      <c r="C925" s="53"/>
      <c r="D925" s="54"/>
      <c r="E925" s="54"/>
    </row>
    <row r="926">
      <c r="A926" s="53"/>
      <c r="B926" s="53"/>
      <c r="C926" s="53"/>
      <c r="D926" s="54"/>
      <c r="E926" s="54"/>
    </row>
    <row r="927">
      <c r="A927" s="53"/>
      <c r="B927" s="53"/>
      <c r="C927" s="53"/>
      <c r="D927" s="54"/>
      <c r="E927" s="54"/>
    </row>
    <row r="928">
      <c r="A928" s="53"/>
      <c r="B928" s="53"/>
      <c r="C928" s="53"/>
      <c r="D928" s="54"/>
      <c r="E928" s="54"/>
    </row>
    <row r="929">
      <c r="A929" s="53"/>
      <c r="B929" s="53"/>
      <c r="C929" s="53"/>
      <c r="D929" s="54"/>
      <c r="E929" s="54"/>
    </row>
    <row r="930">
      <c r="A930" s="53"/>
      <c r="B930" s="53"/>
      <c r="C930" s="53"/>
      <c r="D930" s="54"/>
      <c r="E930" s="54"/>
    </row>
    <row r="931">
      <c r="A931" s="53"/>
      <c r="B931" s="53"/>
      <c r="C931" s="53"/>
      <c r="D931" s="54"/>
      <c r="E931" s="54"/>
    </row>
    <row r="932">
      <c r="A932" s="53"/>
      <c r="B932" s="53"/>
      <c r="C932" s="53"/>
      <c r="D932" s="54"/>
      <c r="E932" s="54"/>
    </row>
    <row r="933">
      <c r="A933" s="53"/>
      <c r="B933" s="53"/>
      <c r="C933" s="53"/>
      <c r="D933" s="54"/>
      <c r="E933" s="54"/>
    </row>
    <row r="934">
      <c r="A934" s="53"/>
      <c r="B934" s="53"/>
      <c r="C934" s="53"/>
      <c r="D934" s="54"/>
      <c r="E934" s="54"/>
    </row>
    <row r="935">
      <c r="A935" s="53"/>
      <c r="B935" s="53"/>
      <c r="C935" s="53"/>
      <c r="D935" s="54"/>
      <c r="E935" s="54"/>
    </row>
    <row r="936">
      <c r="A936" s="53"/>
      <c r="B936" s="53"/>
      <c r="C936" s="53"/>
      <c r="D936" s="54"/>
      <c r="E936" s="54"/>
    </row>
    <row r="937">
      <c r="A937" s="53"/>
      <c r="B937" s="53"/>
      <c r="C937" s="53"/>
      <c r="D937" s="54"/>
      <c r="E937" s="54"/>
    </row>
    <row r="938">
      <c r="A938" s="53"/>
      <c r="B938" s="53"/>
      <c r="C938" s="53"/>
      <c r="D938" s="54"/>
      <c r="E938" s="54"/>
    </row>
    <row r="939">
      <c r="A939" s="53"/>
      <c r="B939" s="53"/>
      <c r="C939" s="53"/>
      <c r="D939" s="54"/>
      <c r="E939" s="54"/>
    </row>
    <row r="940">
      <c r="A940" s="53"/>
      <c r="B940" s="53"/>
      <c r="C940" s="53"/>
      <c r="D940" s="54"/>
      <c r="E940" s="54"/>
    </row>
    <row r="941">
      <c r="A941" s="53"/>
      <c r="B941" s="53"/>
      <c r="C941" s="53"/>
      <c r="D941" s="54"/>
      <c r="E941" s="54"/>
    </row>
    <row r="942">
      <c r="A942" s="53"/>
      <c r="B942" s="53"/>
      <c r="C942" s="53"/>
      <c r="D942" s="54"/>
      <c r="E942" s="54"/>
    </row>
    <row r="943">
      <c r="A943" s="53"/>
      <c r="B943" s="53"/>
      <c r="C943" s="53"/>
      <c r="D943" s="54"/>
      <c r="E943" s="54"/>
    </row>
    <row r="944">
      <c r="A944" s="53"/>
      <c r="B944" s="53"/>
      <c r="C944" s="53"/>
      <c r="D944" s="54"/>
      <c r="E944" s="54"/>
    </row>
    <row r="945">
      <c r="A945" s="53"/>
      <c r="B945" s="53"/>
      <c r="C945" s="53"/>
      <c r="D945" s="54"/>
      <c r="E945" s="54"/>
    </row>
    <row r="946">
      <c r="A946" s="53"/>
      <c r="B946" s="53"/>
      <c r="C946" s="53"/>
      <c r="D946" s="54"/>
      <c r="E946" s="54"/>
    </row>
    <row r="947">
      <c r="A947" s="53"/>
      <c r="B947" s="53"/>
      <c r="C947" s="53"/>
      <c r="D947" s="54"/>
      <c r="E947" s="54"/>
    </row>
    <row r="948">
      <c r="A948" s="53"/>
      <c r="B948" s="53"/>
      <c r="C948" s="53"/>
      <c r="D948" s="54"/>
      <c r="E948" s="54"/>
    </row>
    <row r="949">
      <c r="A949" s="53"/>
      <c r="B949" s="53"/>
      <c r="C949" s="53"/>
      <c r="D949" s="54"/>
      <c r="E949" s="54"/>
    </row>
    <row r="950">
      <c r="A950" s="53"/>
      <c r="B950" s="53"/>
      <c r="C950" s="53"/>
      <c r="D950" s="54"/>
      <c r="E950" s="54"/>
    </row>
    <row r="951">
      <c r="A951" s="53"/>
      <c r="B951" s="53"/>
      <c r="C951" s="53"/>
      <c r="D951" s="54"/>
      <c r="E951" s="54"/>
    </row>
    <row r="952">
      <c r="A952" s="53"/>
      <c r="B952" s="53"/>
      <c r="C952" s="53"/>
      <c r="D952" s="54"/>
      <c r="E952" s="54"/>
    </row>
    <row r="953">
      <c r="A953" s="53"/>
      <c r="B953" s="53"/>
      <c r="C953" s="53"/>
      <c r="D953" s="54"/>
      <c r="E953" s="54"/>
    </row>
    <row r="954">
      <c r="A954" s="53"/>
      <c r="B954" s="53"/>
      <c r="C954" s="53"/>
      <c r="D954" s="54"/>
      <c r="E954" s="54"/>
    </row>
    <row r="955">
      <c r="A955" s="53"/>
      <c r="B955" s="53"/>
      <c r="C955" s="53"/>
      <c r="D955" s="54"/>
      <c r="E955" s="54"/>
    </row>
    <row r="956">
      <c r="A956" s="53"/>
      <c r="B956" s="53"/>
      <c r="C956" s="53"/>
      <c r="D956" s="54"/>
      <c r="E956" s="54"/>
    </row>
    <row r="957">
      <c r="A957" s="53"/>
      <c r="B957" s="53"/>
      <c r="C957" s="53"/>
      <c r="D957" s="54"/>
      <c r="E957" s="54"/>
    </row>
    <row r="958">
      <c r="A958" s="53"/>
      <c r="B958" s="53"/>
      <c r="C958" s="53"/>
      <c r="D958" s="54"/>
      <c r="E958" s="54"/>
    </row>
    <row r="959">
      <c r="A959" s="53"/>
      <c r="B959" s="53"/>
      <c r="C959" s="53"/>
      <c r="D959" s="54"/>
      <c r="E959" s="54"/>
    </row>
    <row r="960">
      <c r="A960" s="53"/>
      <c r="B960" s="53"/>
      <c r="C960" s="53"/>
      <c r="D960" s="54"/>
      <c r="E960" s="54"/>
    </row>
    <row r="961">
      <c r="A961" s="53"/>
      <c r="B961" s="53"/>
      <c r="C961" s="53"/>
      <c r="D961" s="54"/>
      <c r="E961" s="54"/>
    </row>
    <row r="962">
      <c r="A962" s="53"/>
      <c r="B962" s="53"/>
      <c r="C962" s="53"/>
      <c r="D962" s="54"/>
      <c r="E962" s="54"/>
    </row>
    <row r="963">
      <c r="A963" s="53"/>
      <c r="B963" s="53"/>
      <c r="C963" s="53"/>
      <c r="D963" s="54"/>
      <c r="E963" s="54"/>
    </row>
    <row r="964">
      <c r="A964" s="53"/>
      <c r="B964" s="53"/>
      <c r="C964" s="53"/>
      <c r="D964" s="54"/>
      <c r="E964" s="54"/>
    </row>
    <row r="965">
      <c r="A965" s="53"/>
      <c r="B965" s="53"/>
      <c r="C965" s="53"/>
      <c r="D965" s="54"/>
      <c r="E965" s="54"/>
    </row>
    <row r="966">
      <c r="A966" s="53"/>
      <c r="B966" s="53"/>
      <c r="C966" s="53"/>
      <c r="D966" s="54"/>
      <c r="E966" s="54"/>
    </row>
    <row r="967">
      <c r="A967" s="53"/>
      <c r="B967" s="53"/>
      <c r="C967" s="53"/>
      <c r="D967" s="54"/>
      <c r="E967" s="54"/>
    </row>
    <row r="968">
      <c r="A968" s="53"/>
      <c r="B968" s="53"/>
      <c r="C968" s="53"/>
      <c r="D968" s="54"/>
      <c r="E968" s="54"/>
    </row>
    <row r="969">
      <c r="A969" s="53"/>
      <c r="B969" s="53"/>
      <c r="C969" s="53"/>
      <c r="D969" s="54"/>
      <c r="E969" s="54"/>
    </row>
    <row r="970">
      <c r="A970" s="53"/>
      <c r="B970" s="53"/>
      <c r="C970" s="53"/>
      <c r="D970" s="54"/>
      <c r="E970" s="54"/>
    </row>
    <row r="971">
      <c r="A971" s="53"/>
      <c r="B971" s="53"/>
      <c r="C971" s="53"/>
      <c r="D971" s="54"/>
      <c r="E971" s="54"/>
    </row>
    <row r="972">
      <c r="A972" s="53"/>
      <c r="B972" s="53"/>
      <c r="C972" s="53"/>
      <c r="D972" s="54"/>
      <c r="E972" s="54"/>
    </row>
    <row r="973">
      <c r="A973" s="53"/>
      <c r="B973" s="53"/>
      <c r="C973" s="53"/>
      <c r="D973" s="54"/>
      <c r="E973" s="54"/>
    </row>
    <row r="974">
      <c r="A974" s="53"/>
      <c r="B974" s="53"/>
      <c r="C974" s="53"/>
      <c r="D974" s="54"/>
      <c r="E974" s="54"/>
    </row>
    <row r="975">
      <c r="A975" s="53"/>
      <c r="B975" s="53"/>
      <c r="C975" s="53"/>
      <c r="D975" s="54"/>
      <c r="E975" s="54"/>
    </row>
    <row r="976">
      <c r="A976" s="53"/>
      <c r="B976" s="53"/>
      <c r="C976" s="53"/>
      <c r="D976" s="54"/>
      <c r="E976" s="54"/>
    </row>
    <row r="977">
      <c r="A977" s="53"/>
      <c r="B977" s="53"/>
      <c r="C977" s="53"/>
      <c r="D977" s="54"/>
      <c r="E977" s="54"/>
    </row>
    <row r="978">
      <c r="A978" s="53"/>
      <c r="B978" s="53"/>
      <c r="C978" s="53"/>
      <c r="D978" s="54"/>
      <c r="E978" s="54"/>
    </row>
    <row r="979">
      <c r="A979" s="53"/>
      <c r="B979" s="53"/>
      <c r="C979" s="53"/>
      <c r="D979" s="54"/>
      <c r="E979" s="54"/>
    </row>
    <row r="980">
      <c r="A980" s="53"/>
      <c r="B980" s="53"/>
      <c r="C980" s="53"/>
      <c r="D980" s="54"/>
      <c r="E980" s="54"/>
    </row>
    <row r="981">
      <c r="A981" s="53"/>
      <c r="B981" s="53"/>
      <c r="C981" s="53"/>
      <c r="D981" s="54"/>
      <c r="E981" s="54"/>
    </row>
    <row r="982">
      <c r="A982" s="53"/>
      <c r="B982" s="53"/>
      <c r="C982" s="53"/>
      <c r="D982" s="54"/>
      <c r="E982" s="54"/>
    </row>
    <row r="983">
      <c r="A983" s="53"/>
      <c r="B983" s="53"/>
      <c r="C983" s="53"/>
      <c r="D983" s="54"/>
      <c r="E983" s="54"/>
    </row>
    <row r="984">
      <c r="A984" s="53"/>
      <c r="B984" s="53"/>
      <c r="C984" s="53"/>
      <c r="D984" s="54"/>
      <c r="E984" s="54"/>
    </row>
    <row r="985">
      <c r="A985" s="53"/>
      <c r="B985" s="53"/>
      <c r="C985" s="53"/>
      <c r="D985" s="54"/>
      <c r="E985" s="54"/>
    </row>
    <row r="986">
      <c r="A986" s="53"/>
      <c r="B986" s="53"/>
      <c r="C986" s="53"/>
      <c r="D986" s="54"/>
      <c r="E986" s="54"/>
    </row>
    <row r="987">
      <c r="A987" s="53"/>
      <c r="B987" s="53"/>
      <c r="C987" s="53"/>
      <c r="D987" s="54"/>
      <c r="E987" s="54"/>
    </row>
    <row r="988">
      <c r="A988" s="53"/>
      <c r="B988" s="53"/>
      <c r="C988" s="53"/>
      <c r="D988" s="54"/>
      <c r="E988" s="54"/>
    </row>
    <row r="989">
      <c r="A989" s="53"/>
      <c r="B989" s="53"/>
      <c r="C989" s="53"/>
      <c r="D989" s="54"/>
      <c r="E989" s="54"/>
    </row>
    <row r="990">
      <c r="A990" s="53"/>
      <c r="B990" s="53"/>
      <c r="C990" s="53"/>
      <c r="D990" s="54"/>
      <c r="E990" s="54"/>
    </row>
    <row r="991">
      <c r="A991" s="53"/>
      <c r="B991" s="53"/>
      <c r="C991" s="53"/>
      <c r="D991" s="54"/>
      <c r="E991" s="54"/>
    </row>
    <row r="992">
      <c r="A992" s="53"/>
      <c r="B992" s="53"/>
      <c r="C992" s="53"/>
      <c r="D992" s="54"/>
      <c r="E992" s="54"/>
    </row>
    <row r="993">
      <c r="A993" s="53"/>
      <c r="B993" s="53"/>
      <c r="C993" s="53"/>
      <c r="D993" s="54"/>
      <c r="E993" s="54"/>
    </row>
    <row r="994">
      <c r="A994" s="53"/>
      <c r="B994" s="53"/>
      <c r="C994" s="53"/>
      <c r="D994" s="54"/>
      <c r="E994" s="54"/>
    </row>
    <row r="995">
      <c r="A995" s="53"/>
      <c r="B995" s="53"/>
      <c r="C995" s="53"/>
      <c r="D995" s="54"/>
      <c r="E995" s="54"/>
    </row>
    <row r="996">
      <c r="A996" s="53"/>
      <c r="B996" s="53"/>
      <c r="C996" s="53"/>
      <c r="D996" s="54"/>
      <c r="E996" s="54"/>
    </row>
    <row r="997">
      <c r="A997" s="53"/>
      <c r="B997" s="53"/>
      <c r="C997" s="53"/>
      <c r="D997" s="54"/>
      <c r="E997" s="54"/>
    </row>
    <row r="998">
      <c r="A998" s="53"/>
      <c r="B998" s="53"/>
      <c r="C998" s="53"/>
      <c r="D998" s="54"/>
      <c r="E998" s="54"/>
    </row>
    <row r="999">
      <c r="A999" s="53"/>
      <c r="B999" s="53"/>
      <c r="C999" s="53"/>
      <c r="D999" s="54"/>
      <c r="E999" s="54"/>
    </row>
    <row r="1000">
      <c r="A1000" s="53"/>
      <c r="B1000" s="53"/>
      <c r="C1000" s="53"/>
      <c r="D1000" s="54"/>
      <c r="E1000" s="54"/>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3" width="40.38"/>
    <col customWidth="1" min="4" max="4" width="42.25"/>
    <col customWidth="1" min="6" max="6" width="14.75"/>
  </cols>
  <sheetData>
    <row r="1">
      <c r="A1" s="55" t="s">
        <v>289</v>
      </c>
      <c r="B1" s="55" t="s">
        <v>2</v>
      </c>
      <c r="C1" s="55" t="s">
        <v>146</v>
      </c>
      <c r="D1" s="55" t="s">
        <v>21</v>
      </c>
      <c r="E1" s="55" t="s">
        <v>147</v>
      </c>
      <c r="F1" s="55" t="s">
        <v>23</v>
      </c>
      <c r="G1" s="55" t="s">
        <v>290</v>
      </c>
    </row>
    <row r="2">
      <c r="A2" s="56" t="s">
        <v>291</v>
      </c>
      <c r="B2" s="57" t="str">
        <f t="shared" ref="B2:B132" si="1">IF(lEN(G2)&gt;0,"skos:Collection","skos:Concept")</f>
        <v>skos:Collection</v>
      </c>
      <c r="C2" s="57" t="str">
        <f t="shared" ref="C2:C132" si="2">PROPER(SUBSTITUTE(SUBSTITUTE(A2,"le_",""),"_"," "))</f>
        <v>Activities</v>
      </c>
      <c r="D2" s="57" t="str">
        <f t="shared" ref="D2:D132" si="3">A2</f>
        <v>le_activities</v>
      </c>
      <c r="E2" s="57" t="str">
        <f t="shared" ref="E2:E132" si="4">C2</f>
        <v>Activities</v>
      </c>
      <c r="G2" s="57" t="str">
        <f>CONCATENATE(A107,", ",A108,", ",A109,", ",A110,", ",A111,", ",A112,", ",A113,", ",A114,", ",A115,", ",A116)</f>
        <v>le_distribution, le_access, le_retrieval, le_use, le_storage, le_preservation, le_preservation_of_legibility, le_control_of_changes, le_retention, le_disposition</v>
      </c>
    </row>
    <row r="3">
      <c r="A3" s="56" t="s">
        <v>292</v>
      </c>
      <c r="B3" s="57" t="str">
        <f t="shared" si="1"/>
        <v>skos:Concept</v>
      </c>
      <c r="C3" s="57" t="str">
        <f t="shared" si="2"/>
        <v>Analysis</v>
      </c>
      <c r="D3" s="57" t="str">
        <f t="shared" si="3"/>
        <v>le_analysis</v>
      </c>
      <c r="E3" s="57" t="str">
        <f t="shared" si="4"/>
        <v>Analysis</v>
      </c>
    </row>
    <row r="4">
      <c r="A4" s="56" t="s">
        <v>293</v>
      </c>
      <c r="B4" s="57" t="str">
        <f t="shared" si="1"/>
        <v>skos:Collection</v>
      </c>
      <c r="C4" s="57" t="str">
        <f t="shared" si="2"/>
        <v>Boundaries</v>
      </c>
      <c r="D4" s="57" t="str">
        <f t="shared" si="3"/>
        <v>le_boundaries</v>
      </c>
      <c r="E4" s="57" t="str">
        <f t="shared" si="4"/>
        <v>Boundaries</v>
      </c>
      <c r="G4" s="57" t="str">
        <f>CONCATENATE(A102,", ",A103)</f>
        <v>le_physical, le_organizational</v>
      </c>
    </row>
    <row r="5">
      <c r="A5" s="56" t="s">
        <v>294</v>
      </c>
      <c r="B5" s="57" t="str">
        <f t="shared" si="1"/>
        <v>skos:Concept</v>
      </c>
      <c r="C5" s="57" t="str">
        <f t="shared" si="2"/>
        <v>Change In External Issue</v>
      </c>
      <c r="D5" s="57" t="str">
        <f t="shared" si="3"/>
        <v>le_change_in_external_issue</v>
      </c>
      <c r="E5" s="57" t="str">
        <f t="shared" si="4"/>
        <v>Change In External Issue</v>
      </c>
    </row>
    <row r="6">
      <c r="A6" s="58" t="s">
        <v>295</v>
      </c>
      <c r="B6" s="57" t="str">
        <f t="shared" si="1"/>
        <v>skos:Concept</v>
      </c>
      <c r="C6" s="57" t="str">
        <f t="shared" si="2"/>
        <v>Change In Internal Issue</v>
      </c>
      <c r="D6" s="57" t="str">
        <f t="shared" si="3"/>
        <v>le_change_in_internal_issue</v>
      </c>
      <c r="E6" s="57" t="str">
        <f t="shared" si="4"/>
        <v>Change In Internal Issue</v>
      </c>
    </row>
    <row r="7">
      <c r="A7" s="56" t="s">
        <v>296</v>
      </c>
      <c r="B7" s="57" t="str">
        <f t="shared" si="1"/>
        <v>skos:Concept</v>
      </c>
      <c r="C7" s="57" t="str">
        <f t="shared" si="2"/>
        <v>Control Of Changes</v>
      </c>
      <c r="D7" s="57" t="str">
        <f t="shared" si="3"/>
        <v>le_control_of_changes</v>
      </c>
      <c r="E7" s="57" t="str">
        <f t="shared" si="4"/>
        <v>Control Of Changes</v>
      </c>
    </row>
    <row r="8">
      <c r="A8" s="59" t="s">
        <v>297</v>
      </c>
      <c r="B8" s="57" t="str">
        <f t="shared" si="1"/>
        <v>skos:Concept</v>
      </c>
      <c r="C8" s="57" t="str">
        <f t="shared" si="2"/>
        <v>Documented Information Identification And Description</v>
      </c>
      <c r="D8" s="57" t="str">
        <f t="shared" si="3"/>
        <v>le_documented_information_identification_and_description</v>
      </c>
      <c r="E8" s="57" t="str">
        <f t="shared" si="4"/>
        <v>Documented Information Identification And Description</v>
      </c>
    </row>
    <row r="9">
      <c r="A9" s="58" t="s">
        <v>298</v>
      </c>
      <c r="B9" s="57" t="str">
        <f t="shared" si="1"/>
        <v>skos:Concept</v>
      </c>
      <c r="C9" s="57" t="str">
        <f t="shared" si="2"/>
        <v>Evidence Of Competence</v>
      </c>
      <c r="D9" s="57" t="str">
        <f t="shared" si="3"/>
        <v>le_evidence_of_competence</v>
      </c>
      <c r="E9" s="57" t="str">
        <f t="shared" si="4"/>
        <v>Evidence Of Competence</v>
      </c>
    </row>
    <row r="10">
      <c r="A10" s="56" t="s">
        <v>299</v>
      </c>
      <c r="B10" s="57" t="str">
        <f t="shared" si="1"/>
        <v>skos:Concept</v>
      </c>
      <c r="C10" s="57" t="str">
        <f t="shared" si="2"/>
        <v>External Communication</v>
      </c>
      <c r="D10" s="57" t="str">
        <f t="shared" si="3"/>
        <v>le_external_communication</v>
      </c>
      <c r="E10" s="57" t="str">
        <f t="shared" si="4"/>
        <v>External Communication</v>
      </c>
    </row>
    <row r="11">
      <c r="A11" s="56" t="s">
        <v>300</v>
      </c>
      <c r="B11" s="57" t="str">
        <f t="shared" si="1"/>
        <v>skos:Collection</v>
      </c>
      <c r="C11" s="57" t="str">
        <f t="shared" si="2"/>
        <v>External Issues</v>
      </c>
      <c r="D11" s="57" t="str">
        <f t="shared" si="3"/>
        <v>le_external_issues</v>
      </c>
      <c r="E11" s="57" t="str">
        <f t="shared" si="4"/>
        <v>External Issues</v>
      </c>
      <c r="G11" s="57" t="str">
        <f>CONCATENATE(A26,", ",A27,", ",A28,", ",A29,", ",A30,", ",A31,", ",A32,", ",A33,", ",A34,", ",A35,", ",A36,", ",A37,", ",A38,", ",A39)</f>
        <v>le_cultural, le_social, le_environmental, le_political, le_legal, le_regulatory, le_financial, le_technological, le_economic, le_natural_and_competetive_factor, le_whether_international, le_national, le_regional, le_local</v>
      </c>
    </row>
    <row r="12">
      <c r="A12" s="56" t="s">
        <v>301</v>
      </c>
      <c r="B12" s="57" t="str">
        <f t="shared" si="1"/>
        <v>skos:Concept</v>
      </c>
      <c r="C12" s="57" t="str">
        <f t="shared" si="2"/>
        <v>External Origin</v>
      </c>
      <c r="D12" s="57" t="str">
        <f t="shared" si="3"/>
        <v>le_external_origin</v>
      </c>
      <c r="E12" s="57" t="str">
        <f t="shared" si="4"/>
        <v>External Origin</v>
      </c>
    </row>
    <row r="13">
      <c r="A13" s="58" t="s">
        <v>302</v>
      </c>
      <c r="B13" s="57" t="str">
        <f t="shared" si="1"/>
        <v>skos:Concept</v>
      </c>
      <c r="C13" s="57" t="str">
        <f t="shared" si="2"/>
        <v>External Process</v>
      </c>
      <c r="D13" s="57" t="str">
        <f t="shared" si="3"/>
        <v>le_external_process</v>
      </c>
      <c r="E13" s="57" t="str">
        <f t="shared" si="4"/>
        <v>External Process</v>
      </c>
    </row>
    <row r="14">
      <c r="A14" s="56" t="s">
        <v>303</v>
      </c>
      <c r="B14" s="57" t="str">
        <f t="shared" si="1"/>
        <v>skos:Concept</v>
      </c>
      <c r="C14" s="57" t="str">
        <f t="shared" si="2"/>
        <v>External Product</v>
      </c>
      <c r="D14" s="57" t="str">
        <f t="shared" si="3"/>
        <v>le_external_product</v>
      </c>
      <c r="E14" s="57" t="str">
        <f t="shared" si="4"/>
        <v>External Product</v>
      </c>
    </row>
    <row r="15">
      <c r="A15" s="56" t="s">
        <v>304</v>
      </c>
      <c r="B15" s="57" t="str">
        <f t="shared" si="1"/>
        <v>skos:Concept</v>
      </c>
      <c r="C15" s="57" t="str">
        <f t="shared" si="2"/>
        <v>External Service</v>
      </c>
      <c r="D15" s="57" t="str">
        <f t="shared" si="3"/>
        <v>le_external_service</v>
      </c>
      <c r="E15" s="57" t="str">
        <f t="shared" si="4"/>
        <v>External Service</v>
      </c>
    </row>
    <row r="16">
      <c r="A16" s="60" t="s">
        <v>305</v>
      </c>
      <c r="B16" s="57" t="str">
        <f t="shared" si="1"/>
        <v>skos:Collection</v>
      </c>
      <c r="C16" s="57" t="str">
        <f t="shared" si="2"/>
        <v>Interested Party Requirements</v>
      </c>
      <c r="D16" s="57" t="str">
        <f t="shared" si="3"/>
        <v>le_interested_party_requirements</v>
      </c>
      <c r="E16" s="57" t="str">
        <f t="shared" si="4"/>
        <v>Interested Party Requirements</v>
      </c>
      <c r="G16" s="57" t="str">
        <f>CONCATENATE(A76,", ",A77,", ",A78,", ",A79,", ",A80,", ",A81,", ",A82,", ",A83,", ",A84,", ",A85,", ",A86,", ",A87,", ",A88,", ",A89,", ",A90,", ",A91,", ",A92)</f>
        <v>le_applicable_law, le_authorization, le_government_regulation, le_judgement, le_requirements_of_a_larger_entity_to_which_the_organization_belongs, le_treaty, le_convention, le_protocol, le_relevant_industry_code, le_relevant_industry_standard, le_contract, le_agreement, le_code_of_practice, le_voluntary_principles, le_voluntary_labeling, le_environmental_commitments, le_contractual_arragement</v>
      </c>
    </row>
    <row r="17">
      <c r="A17" s="61" t="s">
        <v>306</v>
      </c>
      <c r="B17" s="57" t="str">
        <f t="shared" si="1"/>
        <v>skos:Concept</v>
      </c>
      <c r="C17" s="57" t="str">
        <f t="shared" si="2"/>
        <v>Internal Audit</v>
      </c>
      <c r="D17" s="57" t="str">
        <f t="shared" si="3"/>
        <v>le_internal_audit</v>
      </c>
      <c r="E17" s="57" t="str">
        <f t="shared" si="4"/>
        <v>Internal Audit</v>
      </c>
    </row>
    <row r="18">
      <c r="A18" s="56" t="s">
        <v>307</v>
      </c>
      <c r="B18" s="57" t="str">
        <f t="shared" si="1"/>
        <v>skos:Concept</v>
      </c>
      <c r="C18" s="57" t="str">
        <f t="shared" si="2"/>
        <v>Internal Communication</v>
      </c>
      <c r="D18" s="57" t="str">
        <f t="shared" si="3"/>
        <v>le_internal_communication</v>
      </c>
      <c r="E18" s="57" t="str">
        <f t="shared" si="4"/>
        <v>Internal Communication</v>
      </c>
    </row>
    <row r="19">
      <c r="A19" s="56" t="s">
        <v>308</v>
      </c>
      <c r="B19" s="57" t="str">
        <f t="shared" si="1"/>
        <v>skos:Collection</v>
      </c>
      <c r="C19" s="57" t="str">
        <f t="shared" si="2"/>
        <v>Internal Issues</v>
      </c>
      <c r="D19" s="57" t="str">
        <f t="shared" si="3"/>
        <v>le_internal_issues</v>
      </c>
      <c r="E19" s="57" t="str">
        <f t="shared" si="4"/>
        <v>Internal Issues</v>
      </c>
      <c r="G19" s="57" t="str">
        <f>CONCATENATE(A40,", ",A41,", ",A42,", ","Policy",", ",A43,", ",A44,", ",A45,", ",A46)</f>
        <v>le_organizational_identity, le_governance, le_structure, Policy, le_resource, le_capability, le_people, le_finance</v>
      </c>
    </row>
    <row r="20">
      <c r="A20" s="58" t="s">
        <v>309</v>
      </c>
      <c r="B20" s="57" t="str">
        <f t="shared" si="1"/>
        <v>skos:Concept</v>
      </c>
      <c r="C20" s="57" t="str">
        <f t="shared" si="2"/>
        <v>Management Review</v>
      </c>
      <c r="D20" s="57" t="str">
        <f t="shared" si="3"/>
        <v>le_management_review</v>
      </c>
      <c r="E20" s="57" t="str">
        <f t="shared" si="4"/>
        <v>Management Review</v>
      </c>
    </row>
    <row r="21">
      <c r="A21" s="58" t="s">
        <v>310</v>
      </c>
      <c r="B21" s="57" t="str">
        <f t="shared" si="1"/>
        <v>skos:Concept</v>
      </c>
      <c r="C21" s="57" t="str">
        <f t="shared" si="2"/>
        <v>Management System Processes</v>
      </c>
      <c r="D21" s="57" t="str">
        <f t="shared" si="3"/>
        <v>le_management_system_processes</v>
      </c>
      <c r="E21" s="57" t="str">
        <f t="shared" si="4"/>
        <v>Management System Processes</v>
      </c>
    </row>
    <row r="22">
      <c r="A22" s="56" t="s">
        <v>311</v>
      </c>
      <c r="B22" s="57" t="str">
        <f t="shared" si="1"/>
        <v>skos:Concept</v>
      </c>
      <c r="C22" s="57" t="str">
        <f t="shared" si="2"/>
        <v>Organization Business Process</v>
      </c>
      <c r="D22" s="57" t="str">
        <f t="shared" si="3"/>
        <v>le_organization_business_process</v>
      </c>
      <c r="E22" s="57" t="str">
        <f t="shared" si="4"/>
        <v>Organization Business Process</v>
      </c>
    </row>
    <row r="23">
      <c r="A23" s="59" t="s">
        <v>312</v>
      </c>
      <c r="B23" s="57" t="str">
        <f t="shared" si="1"/>
        <v>skos:Collection</v>
      </c>
      <c r="C23" s="57" t="str">
        <f t="shared" si="2"/>
        <v>Person Competencies</v>
      </c>
      <c r="D23" s="57" t="str">
        <f t="shared" si="3"/>
        <v>le_person_competencies</v>
      </c>
      <c r="E23" s="57" t="str">
        <f t="shared" si="4"/>
        <v>Person Competencies</v>
      </c>
      <c r="G23" s="57" t="str">
        <f>CONCATENATE(A104,", ",A105,", ",A106)</f>
        <v>le_appropiate_education, le_training, le_experience</v>
      </c>
    </row>
    <row r="24">
      <c r="A24" s="56" t="s">
        <v>313</v>
      </c>
      <c r="B24" s="57" t="str">
        <f t="shared" si="1"/>
        <v>skos:Concept</v>
      </c>
      <c r="C24" s="57" t="str">
        <f t="shared" si="2"/>
        <v>Preservation Of Legibility</v>
      </c>
      <c r="D24" s="57" t="str">
        <f t="shared" si="3"/>
        <v>le_preservation_of_legibility</v>
      </c>
      <c r="E24" s="57" t="str">
        <f t="shared" si="4"/>
        <v>Preservation Of Legibility</v>
      </c>
    </row>
    <row r="25">
      <c r="A25" s="56" t="s">
        <v>314</v>
      </c>
      <c r="B25" s="57" t="str">
        <f t="shared" si="1"/>
        <v>skos:Concept</v>
      </c>
      <c r="C25" s="57" t="str">
        <f t="shared" si="2"/>
        <v>Resources</v>
      </c>
      <c r="D25" s="57" t="str">
        <f t="shared" si="3"/>
        <v>le_resources</v>
      </c>
      <c r="E25" s="57" t="str">
        <f t="shared" si="4"/>
        <v>Resources</v>
      </c>
    </row>
    <row r="26">
      <c r="A26" s="62" t="s">
        <v>315</v>
      </c>
      <c r="B26" s="63" t="str">
        <f t="shared" si="1"/>
        <v>skos:Concept</v>
      </c>
      <c r="C26" s="63" t="str">
        <f t="shared" si="2"/>
        <v>Cultural</v>
      </c>
      <c r="D26" s="63" t="str">
        <f t="shared" si="3"/>
        <v>le_cultural</v>
      </c>
      <c r="E26" s="63" t="str">
        <f t="shared" si="4"/>
        <v>Cultural</v>
      </c>
      <c r="F26" s="63" t="str">
        <f t="shared" ref="F26:F39" si="5">A$11</f>
        <v>le_external_issues</v>
      </c>
      <c r="G26" s="63"/>
      <c r="H26" s="63"/>
      <c r="I26" s="63"/>
      <c r="J26" s="63"/>
      <c r="K26" s="63"/>
      <c r="L26" s="63"/>
      <c r="M26" s="63"/>
      <c r="N26" s="63"/>
      <c r="O26" s="63"/>
      <c r="P26" s="63"/>
      <c r="Q26" s="63"/>
      <c r="R26" s="63"/>
      <c r="S26" s="63"/>
      <c r="T26" s="63"/>
      <c r="U26" s="63"/>
      <c r="V26" s="63"/>
      <c r="W26" s="63"/>
      <c r="X26" s="63"/>
      <c r="Y26" s="63"/>
      <c r="Z26" s="63"/>
      <c r="AA26" s="63"/>
    </row>
    <row r="27">
      <c r="A27" s="6" t="s">
        <v>316</v>
      </c>
      <c r="B27" s="57" t="str">
        <f t="shared" si="1"/>
        <v>skos:Concept</v>
      </c>
      <c r="C27" s="57" t="str">
        <f t="shared" si="2"/>
        <v>Social</v>
      </c>
      <c r="D27" s="57" t="str">
        <f t="shared" si="3"/>
        <v>le_social</v>
      </c>
      <c r="E27" s="57" t="str">
        <f t="shared" si="4"/>
        <v>Social</v>
      </c>
      <c r="F27" s="57" t="str">
        <f t="shared" si="5"/>
        <v>le_external_issues</v>
      </c>
    </row>
    <row r="28">
      <c r="A28" s="6" t="s">
        <v>317</v>
      </c>
      <c r="B28" s="57" t="str">
        <f t="shared" si="1"/>
        <v>skos:Concept</v>
      </c>
      <c r="C28" s="57" t="str">
        <f t="shared" si="2"/>
        <v>Environmental</v>
      </c>
      <c r="D28" s="57" t="str">
        <f t="shared" si="3"/>
        <v>le_environmental</v>
      </c>
      <c r="E28" s="57" t="str">
        <f t="shared" si="4"/>
        <v>Environmental</v>
      </c>
      <c r="F28" s="57" t="str">
        <f t="shared" si="5"/>
        <v>le_external_issues</v>
      </c>
    </row>
    <row r="29">
      <c r="A29" s="6" t="s">
        <v>318</v>
      </c>
      <c r="B29" s="57" t="str">
        <f t="shared" si="1"/>
        <v>skos:Concept</v>
      </c>
      <c r="C29" s="57" t="str">
        <f t="shared" si="2"/>
        <v>Political</v>
      </c>
      <c r="D29" s="57" t="str">
        <f t="shared" si="3"/>
        <v>le_political</v>
      </c>
      <c r="E29" s="57" t="str">
        <f t="shared" si="4"/>
        <v>Political</v>
      </c>
      <c r="F29" s="57" t="str">
        <f t="shared" si="5"/>
        <v>le_external_issues</v>
      </c>
    </row>
    <row r="30">
      <c r="A30" s="6" t="s">
        <v>319</v>
      </c>
      <c r="B30" s="57" t="str">
        <f t="shared" si="1"/>
        <v>skos:Concept</v>
      </c>
      <c r="C30" s="57" t="str">
        <f t="shared" si="2"/>
        <v>Legal</v>
      </c>
      <c r="D30" s="57" t="str">
        <f t="shared" si="3"/>
        <v>le_legal</v>
      </c>
      <c r="E30" s="57" t="str">
        <f t="shared" si="4"/>
        <v>Legal</v>
      </c>
      <c r="F30" s="57" t="str">
        <f t="shared" si="5"/>
        <v>le_external_issues</v>
      </c>
    </row>
    <row r="31">
      <c r="A31" s="6" t="s">
        <v>320</v>
      </c>
      <c r="B31" s="57" t="str">
        <f t="shared" si="1"/>
        <v>skos:Concept</v>
      </c>
      <c r="C31" s="57" t="str">
        <f t="shared" si="2"/>
        <v>Regulatory</v>
      </c>
      <c r="D31" s="57" t="str">
        <f t="shared" si="3"/>
        <v>le_regulatory</v>
      </c>
      <c r="E31" s="57" t="str">
        <f t="shared" si="4"/>
        <v>Regulatory</v>
      </c>
      <c r="F31" s="57" t="str">
        <f t="shared" si="5"/>
        <v>le_external_issues</v>
      </c>
    </row>
    <row r="32">
      <c r="A32" s="6" t="s">
        <v>321</v>
      </c>
      <c r="B32" s="57" t="str">
        <f t="shared" si="1"/>
        <v>skos:Concept</v>
      </c>
      <c r="C32" s="57" t="str">
        <f t="shared" si="2"/>
        <v>Financial</v>
      </c>
      <c r="D32" s="57" t="str">
        <f t="shared" si="3"/>
        <v>le_financial</v>
      </c>
      <c r="E32" s="57" t="str">
        <f t="shared" si="4"/>
        <v>Financial</v>
      </c>
      <c r="F32" s="57" t="str">
        <f t="shared" si="5"/>
        <v>le_external_issues</v>
      </c>
    </row>
    <row r="33">
      <c r="A33" s="6" t="s">
        <v>322</v>
      </c>
      <c r="B33" s="57" t="str">
        <f t="shared" si="1"/>
        <v>skos:Concept</v>
      </c>
      <c r="C33" s="57" t="str">
        <f t="shared" si="2"/>
        <v>Technological</v>
      </c>
      <c r="D33" s="57" t="str">
        <f t="shared" si="3"/>
        <v>le_technological</v>
      </c>
      <c r="E33" s="57" t="str">
        <f t="shared" si="4"/>
        <v>Technological</v>
      </c>
      <c r="F33" s="57" t="str">
        <f t="shared" si="5"/>
        <v>le_external_issues</v>
      </c>
    </row>
    <row r="34">
      <c r="A34" s="6" t="s">
        <v>323</v>
      </c>
      <c r="B34" s="57" t="str">
        <f t="shared" si="1"/>
        <v>skos:Concept</v>
      </c>
      <c r="C34" s="57" t="str">
        <f t="shared" si="2"/>
        <v>Economic</v>
      </c>
      <c r="D34" s="57" t="str">
        <f t="shared" si="3"/>
        <v>le_economic</v>
      </c>
      <c r="E34" s="57" t="str">
        <f t="shared" si="4"/>
        <v>Economic</v>
      </c>
      <c r="F34" s="57" t="str">
        <f t="shared" si="5"/>
        <v>le_external_issues</v>
      </c>
    </row>
    <row r="35">
      <c r="A35" s="6" t="s">
        <v>324</v>
      </c>
      <c r="B35" s="57" t="str">
        <f t="shared" si="1"/>
        <v>skos:Concept</v>
      </c>
      <c r="C35" s="57" t="str">
        <f t="shared" si="2"/>
        <v>Natural And Competetive Factor</v>
      </c>
      <c r="D35" s="57" t="str">
        <f t="shared" si="3"/>
        <v>le_natural_and_competetive_factor</v>
      </c>
      <c r="E35" s="57" t="str">
        <f t="shared" si="4"/>
        <v>Natural And Competetive Factor</v>
      </c>
      <c r="F35" s="57" t="str">
        <f t="shared" si="5"/>
        <v>le_external_issues</v>
      </c>
    </row>
    <row r="36">
      <c r="A36" s="6" t="s">
        <v>325</v>
      </c>
      <c r="B36" s="57" t="str">
        <f t="shared" si="1"/>
        <v>skos:Concept</v>
      </c>
      <c r="C36" s="57" t="str">
        <f t="shared" si="2"/>
        <v>Whether International</v>
      </c>
      <c r="D36" s="57" t="str">
        <f t="shared" si="3"/>
        <v>le_whether_international</v>
      </c>
      <c r="E36" s="57" t="str">
        <f t="shared" si="4"/>
        <v>Whether International</v>
      </c>
      <c r="F36" s="57" t="str">
        <f t="shared" si="5"/>
        <v>le_external_issues</v>
      </c>
    </row>
    <row r="37">
      <c r="A37" s="6" t="s">
        <v>326</v>
      </c>
      <c r="B37" s="57" t="str">
        <f t="shared" si="1"/>
        <v>skos:Concept</v>
      </c>
      <c r="C37" s="57" t="str">
        <f t="shared" si="2"/>
        <v>National</v>
      </c>
      <c r="D37" s="57" t="str">
        <f t="shared" si="3"/>
        <v>le_national</v>
      </c>
      <c r="E37" s="57" t="str">
        <f t="shared" si="4"/>
        <v>National</v>
      </c>
      <c r="F37" s="57" t="str">
        <f t="shared" si="5"/>
        <v>le_external_issues</v>
      </c>
    </row>
    <row r="38">
      <c r="A38" s="6" t="s">
        <v>327</v>
      </c>
      <c r="B38" s="57" t="str">
        <f t="shared" si="1"/>
        <v>skos:Concept</v>
      </c>
      <c r="C38" s="57" t="str">
        <f t="shared" si="2"/>
        <v>Regional</v>
      </c>
      <c r="D38" s="57" t="str">
        <f t="shared" si="3"/>
        <v>le_regional</v>
      </c>
      <c r="E38" s="57" t="str">
        <f t="shared" si="4"/>
        <v>Regional</v>
      </c>
      <c r="F38" s="57" t="str">
        <f t="shared" si="5"/>
        <v>le_external_issues</v>
      </c>
    </row>
    <row r="39">
      <c r="A39" s="6" t="s">
        <v>328</v>
      </c>
      <c r="B39" s="57" t="str">
        <f t="shared" si="1"/>
        <v>skos:Concept</v>
      </c>
      <c r="C39" s="57" t="str">
        <f t="shared" si="2"/>
        <v>Local</v>
      </c>
      <c r="D39" s="57" t="str">
        <f t="shared" si="3"/>
        <v>le_local</v>
      </c>
      <c r="E39" s="57" t="str">
        <f t="shared" si="4"/>
        <v>Local</v>
      </c>
      <c r="F39" s="57" t="str">
        <f t="shared" si="5"/>
        <v>le_external_issues</v>
      </c>
    </row>
    <row r="40">
      <c r="A40" s="62" t="s">
        <v>329</v>
      </c>
      <c r="B40" s="63" t="str">
        <f t="shared" si="1"/>
        <v>skos:Collection</v>
      </c>
      <c r="C40" s="63" t="str">
        <f t="shared" si="2"/>
        <v>Organizational Identity</v>
      </c>
      <c r="D40" s="63" t="str">
        <f t="shared" si="3"/>
        <v>le_organizational_identity</v>
      </c>
      <c r="E40" s="63" t="str">
        <f t="shared" si="4"/>
        <v>Organizational Identity</v>
      </c>
      <c r="F40" s="63" t="str">
        <f t="shared" ref="F40:F46" si="6">A$19</f>
        <v>le_internal_issues</v>
      </c>
      <c r="G40" s="63" t="str">
        <f>CONCATENATE(A47,", ",A48,", ",A49,", ",A50)</f>
        <v>le_vision, le_mission, le_value, le_culture</v>
      </c>
      <c r="H40" s="63"/>
      <c r="I40" s="63"/>
      <c r="J40" s="63"/>
      <c r="K40" s="63"/>
      <c r="L40" s="63"/>
      <c r="M40" s="63"/>
      <c r="N40" s="63"/>
      <c r="O40" s="63"/>
      <c r="P40" s="63"/>
      <c r="Q40" s="63"/>
      <c r="R40" s="63"/>
      <c r="S40" s="63"/>
      <c r="T40" s="63"/>
      <c r="U40" s="63"/>
      <c r="V40" s="63"/>
      <c r="W40" s="63"/>
      <c r="X40" s="63"/>
      <c r="Y40" s="63"/>
      <c r="Z40" s="63"/>
      <c r="AA40" s="63"/>
    </row>
    <row r="41">
      <c r="A41" s="6" t="s">
        <v>330</v>
      </c>
      <c r="B41" s="57" t="str">
        <f t="shared" si="1"/>
        <v>skos:Concept</v>
      </c>
      <c r="C41" s="57" t="str">
        <f t="shared" si="2"/>
        <v>Governance</v>
      </c>
      <c r="D41" s="57" t="str">
        <f t="shared" si="3"/>
        <v>le_governance</v>
      </c>
      <c r="E41" s="57" t="str">
        <f t="shared" si="4"/>
        <v>Governance</v>
      </c>
      <c r="F41" s="57" t="str">
        <f t="shared" si="6"/>
        <v>le_internal_issues</v>
      </c>
    </row>
    <row r="42">
      <c r="A42" s="6" t="s">
        <v>331</v>
      </c>
      <c r="B42" s="57" t="str">
        <f t="shared" si="1"/>
        <v>skos:Concept</v>
      </c>
      <c r="C42" s="57" t="str">
        <f t="shared" si="2"/>
        <v>Structure</v>
      </c>
      <c r="D42" s="57" t="str">
        <f t="shared" si="3"/>
        <v>le_structure</v>
      </c>
      <c r="E42" s="57" t="str">
        <f t="shared" si="4"/>
        <v>Structure</v>
      </c>
      <c r="F42" s="57" t="str">
        <f t="shared" si="6"/>
        <v>le_internal_issues</v>
      </c>
    </row>
    <row r="43">
      <c r="A43" s="6" t="s">
        <v>332</v>
      </c>
      <c r="B43" s="57" t="str">
        <f t="shared" si="1"/>
        <v>skos:Concept</v>
      </c>
      <c r="C43" s="57" t="str">
        <f t="shared" si="2"/>
        <v>Resource</v>
      </c>
      <c r="D43" s="57" t="str">
        <f t="shared" si="3"/>
        <v>le_resource</v>
      </c>
      <c r="E43" s="57" t="str">
        <f t="shared" si="4"/>
        <v>Resource</v>
      </c>
      <c r="F43" s="57" t="str">
        <f t="shared" si="6"/>
        <v>le_internal_issues</v>
      </c>
    </row>
    <row r="44">
      <c r="A44" s="6" t="s">
        <v>333</v>
      </c>
      <c r="B44" s="57" t="str">
        <f t="shared" si="1"/>
        <v>skos:Concept</v>
      </c>
      <c r="C44" s="57" t="str">
        <f t="shared" si="2"/>
        <v>Capability</v>
      </c>
      <c r="D44" s="57" t="str">
        <f t="shared" si="3"/>
        <v>le_capability</v>
      </c>
      <c r="E44" s="57" t="str">
        <f t="shared" si="4"/>
        <v>Capability</v>
      </c>
      <c r="F44" s="57" t="str">
        <f t="shared" si="6"/>
        <v>le_internal_issues</v>
      </c>
    </row>
    <row r="45">
      <c r="A45" s="6" t="s">
        <v>334</v>
      </c>
      <c r="B45" s="57" t="str">
        <f t="shared" si="1"/>
        <v>skos:Concept</v>
      </c>
      <c r="C45" s="57" t="str">
        <f t="shared" si="2"/>
        <v>People</v>
      </c>
      <c r="D45" s="57" t="str">
        <f t="shared" si="3"/>
        <v>le_people</v>
      </c>
      <c r="E45" s="57" t="str">
        <f t="shared" si="4"/>
        <v>People</v>
      </c>
      <c r="F45" s="57" t="str">
        <f t="shared" si="6"/>
        <v>le_internal_issues</v>
      </c>
    </row>
    <row r="46">
      <c r="A46" s="6" t="s">
        <v>335</v>
      </c>
      <c r="B46" s="57" t="str">
        <f t="shared" si="1"/>
        <v>skos:Concept</v>
      </c>
      <c r="C46" s="57" t="str">
        <f t="shared" si="2"/>
        <v>Finance</v>
      </c>
      <c r="D46" s="57" t="str">
        <f t="shared" si="3"/>
        <v>le_finance</v>
      </c>
      <c r="E46" s="57" t="str">
        <f t="shared" si="4"/>
        <v>Finance</v>
      </c>
      <c r="F46" s="57" t="str">
        <f t="shared" si="6"/>
        <v>le_internal_issues</v>
      </c>
    </row>
    <row r="47">
      <c r="A47" s="6" t="s">
        <v>336</v>
      </c>
      <c r="B47" s="57" t="str">
        <f t="shared" si="1"/>
        <v>skos:Concept</v>
      </c>
      <c r="C47" s="57" t="str">
        <f t="shared" si="2"/>
        <v>Vision</v>
      </c>
      <c r="D47" s="57" t="str">
        <f t="shared" si="3"/>
        <v>le_vision</v>
      </c>
      <c r="E47" s="57" t="str">
        <f t="shared" si="4"/>
        <v>Vision</v>
      </c>
      <c r="F47" s="57" t="str">
        <f t="shared" ref="F47:F50" si="7">A$40</f>
        <v>le_organizational_identity</v>
      </c>
    </row>
    <row r="48">
      <c r="A48" s="6" t="s">
        <v>337</v>
      </c>
      <c r="B48" s="57" t="str">
        <f t="shared" si="1"/>
        <v>skos:Concept</v>
      </c>
      <c r="C48" s="57" t="str">
        <f t="shared" si="2"/>
        <v>Mission</v>
      </c>
      <c r="D48" s="57" t="str">
        <f t="shared" si="3"/>
        <v>le_mission</v>
      </c>
      <c r="E48" s="57" t="str">
        <f t="shared" si="4"/>
        <v>Mission</v>
      </c>
      <c r="F48" s="57" t="str">
        <f t="shared" si="7"/>
        <v>le_organizational_identity</v>
      </c>
    </row>
    <row r="49">
      <c r="A49" s="6" t="s">
        <v>338</v>
      </c>
      <c r="B49" s="57" t="str">
        <f t="shared" si="1"/>
        <v>skos:Concept</v>
      </c>
      <c r="C49" s="57" t="str">
        <f t="shared" si="2"/>
        <v>Value</v>
      </c>
      <c r="D49" s="57" t="str">
        <f t="shared" si="3"/>
        <v>le_value</v>
      </c>
      <c r="E49" s="57" t="str">
        <f t="shared" si="4"/>
        <v>Value</v>
      </c>
      <c r="F49" s="57" t="str">
        <f t="shared" si="7"/>
        <v>le_organizational_identity</v>
      </c>
    </row>
    <row r="50">
      <c r="A50" s="6" t="s">
        <v>339</v>
      </c>
      <c r="B50" s="57" t="str">
        <f t="shared" si="1"/>
        <v>skos:Concept</v>
      </c>
      <c r="C50" s="57" t="str">
        <f t="shared" si="2"/>
        <v>Culture</v>
      </c>
      <c r="D50" s="57" t="str">
        <f t="shared" si="3"/>
        <v>le_culture</v>
      </c>
      <c r="E50" s="57" t="str">
        <f t="shared" si="4"/>
        <v>Culture</v>
      </c>
      <c r="F50" s="57" t="str">
        <f t="shared" si="7"/>
        <v>le_organizational_identity</v>
      </c>
    </row>
    <row r="51">
      <c r="A51" s="62" t="s">
        <v>340</v>
      </c>
      <c r="B51" s="63" t="str">
        <f t="shared" si="1"/>
        <v>skos:Collection</v>
      </c>
      <c r="C51" s="63" t="str">
        <f t="shared" si="2"/>
        <v>Regulator</v>
      </c>
      <c r="D51" s="63" t="str">
        <f t="shared" si="3"/>
        <v>le_regulator</v>
      </c>
      <c r="E51" s="63" t="str">
        <f t="shared" si="4"/>
        <v>Regulator</v>
      </c>
      <c r="F51" s="62" t="s">
        <v>341</v>
      </c>
      <c r="G51" s="63" t="str">
        <f>CONCATENATE(A67,", ",A68,", ",A69,", ",A70)</f>
        <v>le_local, le_regional, le_national, le_international</v>
      </c>
      <c r="H51" s="63"/>
      <c r="I51" s="63"/>
      <c r="J51" s="63"/>
      <c r="K51" s="63"/>
      <c r="L51" s="63"/>
      <c r="M51" s="63"/>
      <c r="N51" s="63"/>
      <c r="O51" s="63"/>
      <c r="P51" s="63"/>
      <c r="Q51" s="63"/>
      <c r="R51" s="63"/>
      <c r="S51" s="63"/>
      <c r="T51" s="63"/>
      <c r="U51" s="63"/>
      <c r="V51" s="63"/>
      <c r="W51" s="63"/>
      <c r="X51" s="63"/>
      <c r="Y51" s="63"/>
      <c r="Z51" s="63"/>
      <c r="AA51" s="63"/>
    </row>
    <row r="52">
      <c r="A52" s="6" t="s">
        <v>342</v>
      </c>
      <c r="B52" s="57" t="str">
        <f t="shared" si="1"/>
        <v>skos:Concept</v>
      </c>
      <c r="C52" s="57" t="str">
        <f t="shared" si="2"/>
        <v>Parent Organization</v>
      </c>
      <c r="D52" s="57" t="str">
        <f t="shared" si="3"/>
        <v>le_parent_organization</v>
      </c>
      <c r="E52" s="57" t="str">
        <f t="shared" si="4"/>
        <v>Parent Organization</v>
      </c>
      <c r="F52" s="6" t="s">
        <v>341</v>
      </c>
    </row>
    <row r="53">
      <c r="A53" s="6" t="s">
        <v>343</v>
      </c>
      <c r="B53" s="57" t="str">
        <f t="shared" si="1"/>
        <v>skos:Concept</v>
      </c>
      <c r="C53" s="57" t="str">
        <f t="shared" si="2"/>
        <v>Subsidiary Organization</v>
      </c>
      <c r="D53" s="57" t="str">
        <f t="shared" si="3"/>
        <v>le_subsidiary_organization</v>
      </c>
      <c r="E53" s="57" t="str">
        <f t="shared" si="4"/>
        <v>Subsidiary Organization</v>
      </c>
      <c r="F53" s="6" t="s">
        <v>341</v>
      </c>
    </row>
    <row r="54">
      <c r="A54" s="6" t="s">
        <v>344</v>
      </c>
      <c r="B54" s="57" t="str">
        <f t="shared" si="1"/>
        <v>skos:Concept</v>
      </c>
      <c r="C54" s="57" t="str">
        <f t="shared" si="2"/>
        <v>Customer</v>
      </c>
      <c r="D54" s="57" t="str">
        <f t="shared" si="3"/>
        <v>le_customer</v>
      </c>
      <c r="E54" s="57" t="str">
        <f t="shared" si="4"/>
        <v>Customer</v>
      </c>
      <c r="F54" s="6" t="s">
        <v>341</v>
      </c>
    </row>
    <row r="55">
      <c r="A55" s="6" t="s">
        <v>345</v>
      </c>
      <c r="B55" s="57" t="str">
        <f t="shared" si="1"/>
        <v>skos:Collection</v>
      </c>
      <c r="C55" s="57" t="str">
        <f t="shared" si="2"/>
        <v>Association</v>
      </c>
      <c r="D55" s="57" t="str">
        <f t="shared" si="3"/>
        <v>le_association</v>
      </c>
      <c r="E55" s="57" t="str">
        <f t="shared" si="4"/>
        <v>Association</v>
      </c>
      <c r="F55" s="6" t="s">
        <v>341</v>
      </c>
      <c r="G55" s="57" t="str">
        <f>CONCATENATE(A71,", ",A72)</f>
        <v>le_trade, le_professional</v>
      </c>
    </row>
    <row r="56">
      <c r="A56" s="6" t="s">
        <v>346</v>
      </c>
      <c r="B56" s="57" t="str">
        <f t="shared" si="1"/>
        <v>skos:Concept</v>
      </c>
      <c r="C56" s="57" t="str">
        <f t="shared" si="2"/>
        <v>Community Group</v>
      </c>
      <c r="D56" s="57" t="str">
        <f t="shared" si="3"/>
        <v>le_community_group</v>
      </c>
      <c r="E56" s="57" t="str">
        <f t="shared" si="4"/>
        <v>Community Group</v>
      </c>
      <c r="F56" s="6" t="s">
        <v>341</v>
      </c>
    </row>
    <row r="57">
      <c r="A57" s="6" t="s">
        <v>347</v>
      </c>
      <c r="B57" s="57" t="str">
        <f t="shared" si="1"/>
        <v>skos:Concept</v>
      </c>
      <c r="C57" s="57" t="str">
        <f t="shared" si="2"/>
        <v>Non-Governmental Organization</v>
      </c>
      <c r="D57" s="57" t="str">
        <f t="shared" si="3"/>
        <v>le_non-governmental_organization</v>
      </c>
      <c r="E57" s="57" t="str">
        <f t="shared" si="4"/>
        <v>Non-Governmental Organization</v>
      </c>
      <c r="F57" s="6" t="s">
        <v>341</v>
      </c>
    </row>
    <row r="58">
      <c r="A58" s="6" t="s">
        <v>348</v>
      </c>
      <c r="B58" s="57" t="str">
        <f t="shared" si="1"/>
        <v>skos:Concept</v>
      </c>
      <c r="C58" s="57" t="str">
        <f t="shared" si="2"/>
        <v>Supplier</v>
      </c>
      <c r="D58" s="57" t="str">
        <f t="shared" si="3"/>
        <v>le_supplier</v>
      </c>
      <c r="E58" s="57" t="str">
        <f t="shared" si="4"/>
        <v>Supplier</v>
      </c>
      <c r="F58" s="6" t="s">
        <v>341</v>
      </c>
    </row>
    <row r="59">
      <c r="A59" s="6" t="s">
        <v>349</v>
      </c>
      <c r="B59" s="57" t="str">
        <f t="shared" si="1"/>
        <v>skos:Concept</v>
      </c>
      <c r="C59" s="57" t="str">
        <f t="shared" si="2"/>
        <v>Neighbour</v>
      </c>
      <c r="D59" s="57" t="str">
        <f t="shared" si="3"/>
        <v>le_neighbour</v>
      </c>
      <c r="E59" s="57" t="str">
        <f t="shared" si="4"/>
        <v>Neighbour</v>
      </c>
      <c r="F59" s="6" t="s">
        <v>341</v>
      </c>
    </row>
    <row r="60">
      <c r="A60" s="6" t="s">
        <v>350</v>
      </c>
      <c r="B60" s="57" t="str">
        <f t="shared" si="1"/>
        <v>skos:Concept</v>
      </c>
      <c r="C60" s="57" t="str">
        <f t="shared" si="2"/>
        <v>Partner</v>
      </c>
      <c r="D60" s="57" t="str">
        <f t="shared" si="3"/>
        <v>le_partner</v>
      </c>
      <c r="E60" s="57" t="str">
        <f t="shared" si="4"/>
        <v>Partner</v>
      </c>
      <c r="F60" s="6" t="s">
        <v>341</v>
      </c>
    </row>
    <row r="61">
      <c r="A61" s="6" t="s">
        <v>351</v>
      </c>
      <c r="B61" s="57" t="str">
        <f t="shared" si="1"/>
        <v>skos:Collection</v>
      </c>
      <c r="C61" s="57" t="str">
        <f t="shared" si="2"/>
        <v>Worker</v>
      </c>
      <c r="D61" s="57" t="str">
        <f t="shared" si="3"/>
        <v>le_worker</v>
      </c>
      <c r="E61" s="57" t="str">
        <f t="shared" si="4"/>
        <v>Worker</v>
      </c>
      <c r="F61" s="6" t="s">
        <v>341</v>
      </c>
      <c r="G61" s="57" t="str">
        <f>CONCATENATE(A73,", ",A74,", ",A75)</f>
        <v>le_representatives, le_apprentice, le_person_working_on_behalf_of_the_organization</v>
      </c>
    </row>
    <row r="62">
      <c r="A62" s="6" t="s">
        <v>352</v>
      </c>
      <c r="B62" s="57" t="str">
        <f t="shared" si="1"/>
        <v>skos:Concept</v>
      </c>
      <c r="C62" s="57" t="str">
        <f t="shared" si="2"/>
        <v>Owner</v>
      </c>
      <c r="D62" s="57" t="str">
        <f t="shared" si="3"/>
        <v>le_owner</v>
      </c>
      <c r="E62" s="57" t="str">
        <f t="shared" si="4"/>
        <v>Owner</v>
      </c>
      <c r="F62" s="6" t="s">
        <v>341</v>
      </c>
    </row>
    <row r="63">
      <c r="A63" s="6" t="s">
        <v>353</v>
      </c>
      <c r="B63" s="57" t="str">
        <f t="shared" si="1"/>
        <v>skos:Concept</v>
      </c>
      <c r="C63" s="57" t="str">
        <f t="shared" si="2"/>
        <v>Investor</v>
      </c>
      <c r="D63" s="57" t="str">
        <f t="shared" si="3"/>
        <v>le_investor</v>
      </c>
      <c r="E63" s="57" t="str">
        <f t="shared" si="4"/>
        <v>Investor</v>
      </c>
      <c r="F63" s="6" t="s">
        <v>341</v>
      </c>
    </row>
    <row r="64">
      <c r="A64" s="6" t="s">
        <v>354</v>
      </c>
      <c r="B64" s="57" t="str">
        <f t="shared" si="1"/>
        <v>skos:Concept</v>
      </c>
      <c r="C64" s="57" t="str">
        <f t="shared" si="2"/>
        <v>Competitor</v>
      </c>
      <c r="D64" s="57" t="str">
        <f t="shared" si="3"/>
        <v>le_competitor</v>
      </c>
      <c r="E64" s="57" t="str">
        <f t="shared" si="4"/>
        <v>Competitor</v>
      </c>
      <c r="F64" s="6" t="s">
        <v>341</v>
      </c>
    </row>
    <row r="65">
      <c r="A65" s="6" t="s">
        <v>355</v>
      </c>
      <c r="B65" s="57" t="str">
        <f t="shared" si="1"/>
        <v>skos:Concept</v>
      </c>
      <c r="C65" s="57" t="str">
        <f t="shared" si="2"/>
        <v>Academia</v>
      </c>
      <c r="D65" s="57" t="str">
        <f t="shared" si="3"/>
        <v>le_academia</v>
      </c>
      <c r="E65" s="57" t="str">
        <f t="shared" si="4"/>
        <v>Academia</v>
      </c>
      <c r="F65" s="6" t="s">
        <v>341</v>
      </c>
    </row>
    <row r="66">
      <c r="A66" s="6" t="s">
        <v>356</v>
      </c>
      <c r="B66" s="57" t="str">
        <f t="shared" si="1"/>
        <v>skos:Concept</v>
      </c>
      <c r="C66" s="57" t="str">
        <f t="shared" si="2"/>
        <v>Researcher</v>
      </c>
      <c r="D66" s="57" t="str">
        <f t="shared" si="3"/>
        <v>le_researcher</v>
      </c>
      <c r="E66" s="57" t="str">
        <f t="shared" si="4"/>
        <v>Researcher</v>
      </c>
      <c r="F66" s="6" t="s">
        <v>341</v>
      </c>
    </row>
    <row r="67">
      <c r="A67" s="6" t="s">
        <v>328</v>
      </c>
      <c r="B67" s="57" t="str">
        <f t="shared" si="1"/>
        <v>skos:Concept</v>
      </c>
      <c r="C67" s="57" t="str">
        <f t="shared" si="2"/>
        <v>Local</v>
      </c>
      <c r="D67" s="57" t="str">
        <f t="shared" si="3"/>
        <v>le_local</v>
      </c>
      <c r="E67" s="57" t="str">
        <f t="shared" si="4"/>
        <v>Local</v>
      </c>
      <c r="F67" s="57" t="str">
        <f t="shared" ref="F67:F70" si="8">A$51</f>
        <v>le_regulator</v>
      </c>
    </row>
    <row r="68">
      <c r="A68" s="6" t="s">
        <v>327</v>
      </c>
      <c r="B68" s="57" t="str">
        <f t="shared" si="1"/>
        <v>skos:Concept</v>
      </c>
      <c r="C68" s="57" t="str">
        <f t="shared" si="2"/>
        <v>Regional</v>
      </c>
      <c r="D68" s="57" t="str">
        <f t="shared" si="3"/>
        <v>le_regional</v>
      </c>
      <c r="E68" s="57" t="str">
        <f t="shared" si="4"/>
        <v>Regional</v>
      </c>
      <c r="F68" s="57" t="str">
        <f t="shared" si="8"/>
        <v>le_regulator</v>
      </c>
    </row>
    <row r="69">
      <c r="A69" s="6" t="s">
        <v>326</v>
      </c>
      <c r="B69" s="57" t="str">
        <f t="shared" si="1"/>
        <v>skos:Concept</v>
      </c>
      <c r="C69" s="57" t="str">
        <f t="shared" si="2"/>
        <v>National</v>
      </c>
      <c r="D69" s="57" t="str">
        <f t="shared" si="3"/>
        <v>le_national</v>
      </c>
      <c r="E69" s="57" t="str">
        <f t="shared" si="4"/>
        <v>National</v>
      </c>
      <c r="F69" s="57" t="str">
        <f t="shared" si="8"/>
        <v>le_regulator</v>
      </c>
    </row>
    <row r="70">
      <c r="A70" s="6" t="s">
        <v>357</v>
      </c>
      <c r="B70" s="57" t="str">
        <f t="shared" si="1"/>
        <v>skos:Concept</v>
      </c>
      <c r="C70" s="57" t="str">
        <f t="shared" si="2"/>
        <v>International</v>
      </c>
      <c r="D70" s="57" t="str">
        <f t="shared" si="3"/>
        <v>le_international</v>
      </c>
      <c r="E70" s="57" t="str">
        <f t="shared" si="4"/>
        <v>International</v>
      </c>
      <c r="F70" s="57" t="str">
        <f t="shared" si="8"/>
        <v>le_regulator</v>
      </c>
    </row>
    <row r="71">
      <c r="A71" s="6" t="s">
        <v>358</v>
      </c>
      <c r="B71" s="57" t="str">
        <f t="shared" si="1"/>
        <v>skos:Concept</v>
      </c>
      <c r="C71" s="57" t="str">
        <f t="shared" si="2"/>
        <v>Trade</v>
      </c>
      <c r="D71" s="57" t="str">
        <f t="shared" si="3"/>
        <v>le_trade</v>
      </c>
      <c r="E71" s="57" t="str">
        <f t="shared" si="4"/>
        <v>Trade</v>
      </c>
      <c r="F71" s="57" t="str">
        <f t="shared" ref="F71:F72" si="9">A$55</f>
        <v>le_association</v>
      </c>
    </row>
    <row r="72">
      <c r="A72" s="6" t="s">
        <v>359</v>
      </c>
      <c r="B72" s="57" t="str">
        <f t="shared" si="1"/>
        <v>skos:Concept</v>
      </c>
      <c r="C72" s="57" t="str">
        <f t="shared" si="2"/>
        <v>Professional</v>
      </c>
      <c r="D72" s="57" t="str">
        <f t="shared" si="3"/>
        <v>le_professional</v>
      </c>
      <c r="E72" s="57" t="str">
        <f t="shared" si="4"/>
        <v>Professional</v>
      </c>
      <c r="F72" s="57" t="str">
        <f t="shared" si="9"/>
        <v>le_association</v>
      </c>
    </row>
    <row r="73">
      <c r="A73" s="6" t="s">
        <v>360</v>
      </c>
      <c r="B73" s="57" t="str">
        <f t="shared" si="1"/>
        <v>skos:Concept</v>
      </c>
      <c r="C73" s="57" t="str">
        <f t="shared" si="2"/>
        <v>Representatives</v>
      </c>
      <c r="D73" s="57" t="str">
        <f t="shared" si="3"/>
        <v>le_representatives</v>
      </c>
      <c r="E73" s="57" t="str">
        <f t="shared" si="4"/>
        <v>Representatives</v>
      </c>
      <c r="F73" s="57" t="str">
        <f t="shared" ref="F73:F75" si="10">A$61</f>
        <v>le_worker</v>
      </c>
    </row>
    <row r="74">
      <c r="A74" s="6" t="s">
        <v>361</v>
      </c>
      <c r="B74" s="57" t="str">
        <f t="shared" si="1"/>
        <v>skos:Concept</v>
      </c>
      <c r="C74" s="57" t="str">
        <f t="shared" si="2"/>
        <v>Apprentice</v>
      </c>
      <c r="D74" s="57" t="str">
        <f t="shared" si="3"/>
        <v>le_apprentice</v>
      </c>
      <c r="E74" s="57" t="str">
        <f t="shared" si="4"/>
        <v>Apprentice</v>
      </c>
      <c r="F74" s="57" t="str">
        <f t="shared" si="10"/>
        <v>le_worker</v>
      </c>
    </row>
    <row r="75">
      <c r="A75" s="6" t="s">
        <v>362</v>
      </c>
      <c r="B75" s="57" t="str">
        <f t="shared" si="1"/>
        <v>skos:Concept</v>
      </c>
      <c r="C75" s="57" t="str">
        <f t="shared" si="2"/>
        <v>Person Working On Behalf Of The Organization</v>
      </c>
      <c r="D75" s="57" t="str">
        <f t="shared" si="3"/>
        <v>le_person_working_on_behalf_of_the_organization</v>
      </c>
      <c r="E75" s="57" t="str">
        <f t="shared" si="4"/>
        <v>Person Working On Behalf Of The Organization</v>
      </c>
      <c r="F75" s="57" t="str">
        <f t="shared" si="10"/>
        <v>le_worker</v>
      </c>
    </row>
    <row r="76">
      <c r="A76" s="62" t="s">
        <v>363</v>
      </c>
      <c r="B76" s="63" t="str">
        <f t="shared" si="1"/>
        <v>skos:Concept</v>
      </c>
      <c r="C76" s="63" t="str">
        <f t="shared" si="2"/>
        <v>Applicablaw</v>
      </c>
      <c r="D76" s="63" t="str">
        <f t="shared" si="3"/>
        <v>le_applicable_law</v>
      </c>
      <c r="E76" s="63" t="str">
        <f t="shared" si="4"/>
        <v>Applicablaw</v>
      </c>
      <c r="F76" s="63" t="str">
        <f t="shared" ref="F76:F92" si="11">A$16</f>
        <v>le_interested_party_requirements</v>
      </c>
      <c r="G76" s="63"/>
      <c r="H76" s="63"/>
      <c r="I76" s="63"/>
      <c r="J76" s="63"/>
      <c r="K76" s="63"/>
      <c r="L76" s="63"/>
      <c r="M76" s="63"/>
      <c r="N76" s="63"/>
      <c r="O76" s="63"/>
      <c r="P76" s="63"/>
      <c r="Q76" s="63"/>
      <c r="R76" s="63"/>
      <c r="S76" s="63"/>
      <c r="T76" s="63"/>
      <c r="U76" s="63"/>
      <c r="V76" s="63"/>
      <c r="W76" s="63"/>
      <c r="X76" s="63"/>
      <c r="Y76" s="63"/>
      <c r="Z76" s="63"/>
      <c r="AA76" s="63"/>
    </row>
    <row r="77">
      <c r="A77" s="6" t="s">
        <v>364</v>
      </c>
      <c r="B77" s="57" t="str">
        <f t="shared" si="1"/>
        <v>skos:Collection</v>
      </c>
      <c r="C77" s="57" t="str">
        <f t="shared" si="2"/>
        <v>Authorization</v>
      </c>
      <c r="D77" s="57" t="str">
        <f t="shared" si="3"/>
        <v>le_authorization</v>
      </c>
      <c r="E77" s="57" t="str">
        <f t="shared" si="4"/>
        <v>Authorization</v>
      </c>
      <c r="F77" s="57" t="str">
        <f t="shared" si="11"/>
        <v>le_interested_party_requirements</v>
      </c>
      <c r="G77" s="57" t="str">
        <f>CONCATENATE(A93,", ",A94,", ",A95)</f>
        <v>le_permit, le_license, le_other</v>
      </c>
    </row>
    <row r="78">
      <c r="A78" s="6" t="s">
        <v>365</v>
      </c>
      <c r="B78" s="57" t="str">
        <f t="shared" si="1"/>
        <v>skos:Concept</v>
      </c>
      <c r="C78" s="57" t="str">
        <f t="shared" si="2"/>
        <v>Government Regulation</v>
      </c>
      <c r="D78" s="57" t="str">
        <f t="shared" si="3"/>
        <v>le_government_regulation</v>
      </c>
      <c r="E78" s="57" t="str">
        <f t="shared" si="4"/>
        <v>Government Regulation</v>
      </c>
      <c r="F78" s="57" t="str">
        <f t="shared" si="11"/>
        <v>le_interested_party_requirements</v>
      </c>
    </row>
    <row r="79">
      <c r="A79" s="6" t="s">
        <v>366</v>
      </c>
      <c r="B79" s="57" t="str">
        <f t="shared" si="1"/>
        <v>skos:Collection</v>
      </c>
      <c r="C79" s="57" t="str">
        <f t="shared" si="2"/>
        <v>Judgement</v>
      </c>
      <c r="D79" s="57" t="str">
        <f t="shared" si="3"/>
        <v>le_judgement</v>
      </c>
      <c r="E79" s="57" t="str">
        <f t="shared" si="4"/>
        <v>Judgement</v>
      </c>
      <c r="F79" s="57" t="str">
        <f t="shared" si="11"/>
        <v>le_interested_party_requirements</v>
      </c>
      <c r="G79" s="57" t="str">
        <f>CONCATENATE(A96,", ",A97)</f>
        <v>le_judgement_of_courts, le_judgement_of_administrative_tribunals</v>
      </c>
    </row>
    <row r="80">
      <c r="A80" s="6" t="s">
        <v>367</v>
      </c>
      <c r="B80" s="57" t="str">
        <f t="shared" si="1"/>
        <v>skos:Concept</v>
      </c>
      <c r="C80" s="57" t="str">
        <f t="shared" si="2"/>
        <v>Requirements Of A Larger Entity To Which The Organization Belongs</v>
      </c>
      <c r="D80" s="57" t="str">
        <f t="shared" si="3"/>
        <v>le_requirements_of_a_larger_entity_to_which_the_organization_belongs</v>
      </c>
      <c r="E80" s="57" t="str">
        <f t="shared" si="4"/>
        <v>Requirements Of A Larger Entity To Which The Organization Belongs</v>
      </c>
      <c r="F80" s="57" t="str">
        <f t="shared" si="11"/>
        <v>le_interested_party_requirements</v>
      </c>
    </row>
    <row r="81">
      <c r="A81" s="6" t="s">
        <v>368</v>
      </c>
      <c r="B81" s="57" t="str">
        <f t="shared" si="1"/>
        <v>skos:Concept</v>
      </c>
      <c r="C81" s="57" t="str">
        <f t="shared" si="2"/>
        <v>Treaty</v>
      </c>
      <c r="D81" s="57" t="str">
        <f t="shared" si="3"/>
        <v>le_treaty</v>
      </c>
      <c r="E81" s="57" t="str">
        <f t="shared" si="4"/>
        <v>Treaty</v>
      </c>
      <c r="F81" s="57" t="str">
        <f t="shared" si="11"/>
        <v>le_interested_party_requirements</v>
      </c>
    </row>
    <row r="82">
      <c r="A82" s="6" t="s">
        <v>369</v>
      </c>
      <c r="B82" s="57" t="str">
        <f t="shared" si="1"/>
        <v>skos:Concept</v>
      </c>
      <c r="C82" s="57" t="str">
        <f t="shared" si="2"/>
        <v>Convention</v>
      </c>
      <c r="D82" s="57" t="str">
        <f t="shared" si="3"/>
        <v>le_convention</v>
      </c>
      <c r="E82" s="57" t="str">
        <f t="shared" si="4"/>
        <v>Convention</v>
      </c>
      <c r="F82" s="57" t="str">
        <f t="shared" si="11"/>
        <v>le_interested_party_requirements</v>
      </c>
    </row>
    <row r="83">
      <c r="A83" s="6" t="s">
        <v>370</v>
      </c>
      <c r="B83" s="57" t="str">
        <f t="shared" si="1"/>
        <v>skos:Concept</v>
      </c>
      <c r="C83" s="57" t="str">
        <f t="shared" si="2"/>
        <v>Protocol</v>
      </c>
      <c r="D83" s="57" t="str">
        <f t="shared" si="3"/>
        <v>le_protocol</v>
      </c>
      <c r="E83" s="57" t="str">
        <f t="shared" si="4"/>
        <v>Protocol</v>
      </c>
      <c r="F83" s="57" t="str">
        <f t="shared" si="11"/>
        <v>le_interested_party_requirements</v>
      </c>
    </row>
    <row r="84">
      <c r="A84" s="6" t="s">
        <v>371</v>
      </c>
      <c r="B84" s="57" t="str">
        <f t="shared" si="1"/>
        <v>skos:Concept</v>
      </c>
      <c r="C84" s="57" t="str">
        <f t="shared" si="2"/>
        <v>Relevant Industry Code</v>
      </c>
      <c r="D84" s="57" t="str">
        <f t="shared" si="3"/>
        <v>le_relevant_industry_code</v>
      </c>
      <c r="E84" s="57" t="str">
        <f t="shared" si="4"/>
        <v>Relevant Industry Code</v>
      </c>
      <c r="F84" s="57" t="str">
        <f t="shared" si="11"/>
        <v>le_interested_party_requirements</v>
      </c>
    </row>
    <row r="85">
      <c r="A85" s="6" t="s">
        <v>372</v>
      </c>
      <c r="B85" s="57" t="str">
        <f t="shared" si="1"/>
        <v>skos:Concept</v>
      </c>
      <c r="C85" s="57" t="str">
        <f t="shared" si="2"/>
        <v>Relevant Industry Standard</v>
      </c>
      <c r="D85" s="57" t="str">
        <f t="shared" si="3"/>
        <v>le_relevant_industry_standard</v>
      </c>
      <c r="E85" s="57" t="str">
        <f t="shared" si="4"/>
        <v>Relevant Industry Standard</v>
      </c>
      <c r="F85" s="57" t="str">
        <f t="shared" si="11"/>
        <v>le_interested_party_requirements</v>
      </c>
    </row>
    <row r="86">
      <c r="A86" s="6" t="s">
        <v>373</v>
      </c>
      <c r="B86" s="57" t="str">
        <f t="shared" si="1"/>
        <v>skos:Concept</v>
      </c>
      <c r="C86" s="57" t="str">
        <f t="shared" si="2"/>
        <v>Contract</v>
      </c>
      <c r="D86" s="57" t="str">
        <f t="shared" si="3"/>
        <v>le_contract</v>
      </c>
      <c r="E86" s="57" t="str">
        <f t="shared" si="4"/>
        <v>Contract</v>
      </c>
      <c r="F86" s="57" t="str">
        <f t="shared" si="11"/>
        <v>le_interested_party_requirements</v>
      </c>
    </row>
    <row r="87">
      <c r="A87" s="6" t="s">
        <v>374</v>
      </c>
      <c r="B87" s="57" t="str">
        <f t="shared" si="1"/>
        <v>skos:Collection</v>
      </c>
      <c r="C87" s="57" t="str">
        <f t="shared" si="2"/>
        <v>Agreement</v>
      </c>
      <c r="D87" s="57" t="str">
        <f t="shared" si="3"/>
        <v>le_agreement</v>
      </c>
      <c r="E87" s="57" t="str">
        <f t="shared" si="4"/>
        <v>Agreement</v>
      </c>
      <c r="F87" s="57" t="str">
        <f t="shared" si="11"/>
        <v>le_interested_party_requirements</v>
      </c>
      <c r="G87" s="57" t="str">
        <f>CONCATENATE(A98,", ",A99,", ",A100,", ",A101)</f>
        <v>le_customer, le_community_group, le_non-governmental_organization, le_public_authorities</v>
      </c>
    </row>
    <row r="88">
      <c r="A88" s="6" t="s">
        <v>375</v>
      </c>
      <c r="B88" s="57" t="str">
        <f t="shared" si="1"/>
        <v>skos:Concept</v>
      </c>
      <c r="C88" s="57" t="str">
        <f t="shared" si="2"/>
        <v>Code Of Practice</v>
      </c>
      <c r="D88" s="57" t="str">
        <f t="shared" si="3"/>
        <v>le_code_of_practice</v>
      </c>
      <c r="E88" s="57" t="str">
        <f t="shared" si="4"/>
        <v>Code Of Practice</v>
      </c>
      <c r="F88" s="57" t="str">
        <f t="shared" si="11"/>
        <v>le_interested_party_requirements</v>
      </c>
    </row>
    <row r="89">
      <c r="A89" s="6" t="s">
        <v>376</v>
      </c>
      <c r="B89" s="57" t="str">
        <f t="shared" si="1"/>
        <v>skos:Concept</v>
      </c>
      <c r="C89" s="57" t="str">
        <f t="shared" si="2"/>
        <v>Voluntary Principles</v>
      </c>
      <c r="D89" s="57" t="str">
        <f t="shared" si="3"/>
        <v>le_voluntary_principles</v>
      </c>
      <c r="E89" s="57" t="str">
        <f t="shared" si="4"/>
        <v>Voluntary Principles</v>
      </c>
      <c r="F89" s="57" t="str">
        <f t="shared" si="11"/>
        <v>le_interested_party_requirements</v>
      </c>
    </row>
    <row r="90">
      <c r="A90" s="6" t="s">
        <v>377</v>
      </c>
      <c r="B90" s="57" t="str">
        <f t="shared" si="1"/>
        <v>skos:Concept</v>
      </c>
      <c r="C90" s="57" t="str">
        <f t="shared" si="2"/>
        <v>Voluntary Labeling</v>
      </c>
      <c r="D90" s="57" t="str">
        <f t="shared" si="3"/>
        <v>le_voluntary_labeling</v>
      </c>
      <c r="E90" s="57" t="str">
        <f t="shared" si="4"/>
        <v>Voluntary Labeling</v>
      </c>
      <c r="F90" s="57" t="str">
        <f t="shared" si="11"/>
        <v>le_interested_party_requirements</v>
      </c>
    </row>
    <row r="91">
      <c r="A91" s="6" t="s">
        <v>378</v>
      </c>
      <c r="B91" s="57" t="str">
        <f t="shared" si="1"/>
        <v>skos:Concept</v>
      </c>
      <c r="C91" s="57" t="str">
        <f t="shared" si="2"/>
        <v>Environmental Commitments</v>
      </c>
      <c r="D91" s="57" t="str">
        <f t="shared" si="3"/>
        <v>le_environmental_commitments</v>
      </c>
      <c r="E91" s="57" t="str">
        <f t="shared" si="4"/>
        <v>Environmental Commitments</v>
      </c>
      <c r="F91" s="57" t="str">
        <f t="shared" si="11"/>
        <v>le_interested_party_requirements</v>
      </c>
    </row>
    <row r="92">
      <c r="A92" s="6" t="s">
        <v>379</v>
      </c>
      <c r="B92" s="57" t="str">
        <f t="shared" si="1"/>
        <v>skos:Concept</v>
      </c>
      <c r="C92" s="57" t="str">
        <f t="shared" si="2"/>
        <v>Contractual Arragement</v>
      </c>
      <c r="D92" s="57" t="str">
        <f t="shared" si="3"/>
        <v>le_contractual_arragement</v>
      </c>
      <c r="E92" s="57" t="str">
        <f t="shared" si="4"/>
        <v>Contractual Arragement</v>
      </c>
      <c r="F92" s="57" t="str">
        <f t="shared" si="11"/>
        <v>le_interested_party_requirements</v>
      </c>
    </row>
    <row r="93">
      <c r="A93" s="6" t="s">
        <v>380</v>
      </c>
      <c r="B93" s="57" t="str">
        <f t="shared" si="1"/>
        <v>skos:Concept</v>
      </c>
      <c r="C93" s="57" t="str">
        <f t="shared" si="2"/>
        <v>Permit</v>
      </c>
      <c r="D93" s="57" t="str">
        <f t="shared" si="3"/>
        <v>le_permit</v>
      </c>
      <c r="E93" s="57" t="str">
        <f t="shared" si="4"/>
        <v>Permit</v>
      </c>
      <c r="F93" s="57" t="str">
        <f t="shared" ref="F93:F95" si="12">A$77</f>
        <v>le_authorization</v>
      </c>
    </row>
    <row r="94">
      <c r="A94" s="6" t="s">
        <v>381</v>
      </c>
      <c r="B94" s="57" t="str">
        <f t="shared" si="1"/>
        <v>skos:Concept</v>
      </c>
      <c r="C94" s="57" t="str">
        <f t="shared" si="2"/>
        <v>License</v>
      </c>
      <c r="D94" s="57" t="str">
        <f t="shared" si="3"/>
        <v>le_license</v>
      </c>
      <c r="E94" s="57" t="str">
        <f t="shared" si="4"/>
        <v>License</v>
      </c>
      <c r="F94" s="57" t="str">
        <f t="shared" si="12"/>
        <v>le_authorization</v>
      </c>
    </row>
    <row r="95">
      <c r="A95" s="6" t="s">
        <v>382</v>
      </c>
      <c r="B95" s="57" t="str">
        <f t="shared" si="1"/>
        <v>skos:Concept</v>
      </c>
      <c r="C95" s="57" t="str">
        <f t="shared" si="2"/>
        <v>Other</v>
      </c>
      <c r="D95" s="57" t="str">
        <f t="shared" si="3"/>
        <v>le_other</v>
      </c>
      <c r="E95" s="57" t="str">
        <f t="shared" si="4"/>
        <v>Other</v>
      </c>
      <c r="F95" s="57" t="str">
        <f t="shared" si="12"/>
        <v>le_authorization</v>
      </c>
    </row>
    <row r="96">
      <c r="A96" s="6" t="s">
        <v>383</v>
      </c>
      <c r="B96" s="57" t="str">
        <f t="shared" si="1"/>
        <v>skos:Concept</v>
      </c>
      <c r="C96" s="57" t="str">
        <f t="shared" si="2"/>
        <v>Judgement Of Courts</v>
      </c>
      <c r="D96" s="57" t="str">
        <f t="shared" si="3"/>
        <v>le_judgement_of_courts</v>
      </c>
      <c r="E96" s="57" t="str">
        <f t="shared" si="4"/>
        <v>Judgement Of Courts</v>
      </c>
      <c r="F96" s="57" t="str">
        <f t="shared" ref="F96:F97" si="13">A$79</f>
        <v>le_judgement</v>
      </c>
    </row>
    <row r="97">
      <c r="A97" s="6" t="s">
        <v>384</v>
      </c>
      <c r="B97" s="57" t="str">
        <f t="shared" si="1"/>
        <v>skos:Concept</v>
      </c>
      <c r="C97" s="57" t="str">
        <f t="shared" si="2"/>
        <v>Judgement Of Administrative Tribunals</v>
      </c>
      <c r="D97" s="57" t="str">
        <f t="shared" si="3"/>
        <v>le_judgement_of_administrative_tribunals</v>
      </c>
      <c r="E97" s="57" t="str">
        <f t="shared" si="4"/>
        <v>Judgement Of Administrative Tribunals</v>
      </c>
      <c r="F97" s="57" t="str">
        <f t="shared" si="13"/>
        <v>le_judgement</v>
      </c>
    </row>
    <row r="98">
      <c r="A98" s="6" t="s">
        <v>344</v>
      </c>
      <c r="B98" s="57" t="str">
        <f t="shared" si="1"/>
        <v>skos:Concept</v>
      </c>
      <c r="C98" s="57" t="str">
        <f t="shared" si="2"/>
        <v>Customer</v>
      </c>
      <c r="D98" s="57" t="str">
        <f t="shared" si="3"/>
        <v>le_customer</v>
      </c>
      <c r="E98" s="57" t="str">
        <f t="shared" si="4"/>
        <v>Customer</v>
      </c>
      <c r="F98" s="57" t="str">
        <f t="shared" ref="F98:F101" si="14">A$87</f>
        <v>le_agreement</v>
      </c>
    </row>
    <row r="99">
      <c r="A99" s="6" t="s">
        <v>346</v>
      </c>
      <c r="B99" s="57" t="str">
        <f t="shared" si="1"/>
        <v>skos:Concept</v>
      </c>
      <c r="C99" s="57" t="str">
        <f t="shared" si="2"/>
        <v>Community Group</v>
      </c>
      <c r="D99" s="57" t="str">
        <f t="shared" si="3"/>
        <v>le_community_group</v>
      </c>
      <c r="E99" s="57" t="str">
        <f t="shared" si="4"/>
        <v>Community Group</v>
      </c>
      <c r="F99" s="57" t="str">
        <f t="shared" si="14"/>
        <v>le_agreement</v>
      </c>
    </row>
    <row r="100">
      <c r="A100" s="6" t="s">
        <v>347</v>
      </c>
      <c r="B100" s="57" t="str">
        <f t="shared" si="1"/>
        <v>skos:Concept</v>
      </c>
      <c r="C100" s="57" t="str">
        <f t="shared" si="2"/>
        <v>Non-Governmental Organization</v>
      </c>
      <c r="D100" s="57" t="str">
        <f t="shared" si="3"/>
        <v>le_non-governmental_organization</v>
      </c>
      <c r="E100" s="57" t="str">
        <f t="shared" si="4"/>
        <v>Non-Governmental Organization</v>
      </c>
      <c r="F100" s="57" t="str">
        <f t="shared" si="14"/>
        <v>le_agreement</v>
      </c>
    </row>
    <row r="101">
      <c r="A101" s="6" t="s">
        <v>385</v>
      </c>
      <c r="B101" s="57" t="str">
        <f t="shared" si="1"/>
        <v>skos:Concept</v>
      </c>
      <c r="C101" s="57" t="str">
        <f t="shared" si="2"/>
        <v>Public Authorities</v>
      </c>
      <c r="D101" s="57" t="str">
        <f t="shared" si="3"/>
        <v>le_public_authorities</v>
      </c>
      <c r="E101" s="57" t="str">
        <f t="shared" si="4"/>
        <v>Public Authorities</v>
      </c>
      <c r="F101" s="57" t="str">
        <f t="shared" si="14"/>
        <v>le_agreement</v>
      </c>
    </row>
    <row r="102">
      <c r="A102" s="62" t="s">
        <v>386</v>
      </c>
      <c r="B102" s="63" t="str">
        <f t="shared" si="1"/>
        <v>skos:Concept</v>
      </c>
      <c r="C102" s="63" t="str">
        <f t="shared" si="2"/>
        <v>Physical</v>
      </c>
      <c r="D102" s="63" t="str">
        <f t="shared" si="3"/>
        <v>le_physical</v>
      </c>
      <c r="E102" s="63" t="str">
        <f t="shared" si="4"/>
        <v>Physical</v>
      </c>
      <c r="F102" s="63" t="str">
        <f t="shared" ref="F102:F103" si="15">A$4</f>
        <v>le_boundaries</v>
      </c>
      <c r="G102" s="63"/>
      <c r="H102" s="63"/>
      <c r="I102" s="63"/>
      <c r="J102" s="63"/>
      <c r="K102" s="63"/>
      <c r="L102" s="63"/>
      <c r="M102" s="63"/>
      <c r="N102" s="63"/>
      <c r="O102" s="63"/>
      <c r="P102" s="63"/>
      <c r="Q102" s="63"/>
      <c r="R102" s="63"/>
      <c r="S102" s="63"/>
      <c r="T102" s="63"/>
      <c r="U102" s="63"/>
      <c r="V102" s="63"/>
      <c r="W102" s="63"/>
      <c r="X102" s="63"/>
      <c r="Y102" s="63"/>
      <c r="Z102" s="63"/>
      <c r="AA102" s="63"/>
    </row>
    <row r="103">
      <c r="A103" s="6" t="s">
        <v>387</v>
      </c>
      <c r="B103" s="57" t="str">
        <f t="shared" si="1"/>
        <v>skos:Concept</v>
      </c>
      <c r="C103" s="57" t="str">
        <f t="shared" si="2"/>
        <v>Organizational</v>
      </c>
      <c r="D103" s="57" t="str">
        <f t="shared" si="3"/>
        <v>le_organizational</v>
      </c>
      <c r="E103" s="57" t="str">
        <f t="shared" si="4"/>
        <v>Organizational</v>
      </c>
      <c r="F103" s="57" t="str">
        <f t="shared" si="15"/>
        <v>le_boundaries</v>
      </c>
    </row>
    <row r="104">
      <c r="A104" s="62" t="s">
        <v>388</v>
      </c>
      <c r="B104" s="63" t="str">
        <f t="shared" si="1"/>
        <v>skos:Concept</v>
      </c>
      <c r="C104" s="63" t="str">
        <f t="shared" si="2"/>
        <v>Appropiate Education</v>
      </c>
      <c r="D104" s="63" t="str">
        <f t="shared" si="3"/>
        <v>le_appropiate_education</v>
      </c>
      <c r="E104" s="63" t="str">
        <f t="shared" si="4"/>
        <v>Appropiate Education</v>
      </c>
      <c r="F104" s="63" t="str">
        <f t="shared" ref="F104:F106" si="16">A$23</f>
        <v>le_person_competencies</v>
      </c>
      <c r="G104" s="63"/>
      <c r="H104" s="63"/>
      <c r="I104" s="63"/>
      <c r="J104" s="63"/>
      <c r="K104" s="63"/>
      <c r="L104" s="63"/>
      <c r="M104" s="63"/>
      <c r="N104" s="63"/>
      <c r="O104" s="63"/>
      <c r="P104" s="63"/>
      <c r="Q104" s="63"/>
      <c r="R104" s="63"/>
      <c r="S104" s="63"/>
      <c r="T104" s="63"/>
      <c r="U104" s="63"/>
      <c r="V104" s="63"/>
      <c r="W104" s="63"/>
      <c r="X104" s="63"/>
      <c r="Y104" s="63"/>
      <c r="Z104" s="63"/>
      <c r="AA104" s="63"/>
    </row>
    <row r="105">
      <c r="A105" s="6" t="s">
        <v>389</v>
      </c>
      <c r="B105" s="57" t="str">
        <f t="shared" si="1"/>
        <v>skos:Concept</v>
      </c>
      <c r="C105" s="57" t="str">
        <f t="shared" si="2"/>
        <v>Training</v>
      </c>
      <c r="D105" s="57" t="str">
        <f t="shared" si="3"/>
        <v>le_training</v>
      </c>
      <c r="E105" s="57" t="str">
        <f t="shared" si="4"/>
        <v>Training</v>
      </c>
      <c r="F105" s="57" t="str">
        <f t="shared" si="16"/>
        <v>le_person_competencies</v>
      </c>
    </row>
    <row r="106">
      <c r="A106" s="6" t="s">
        <v>390</v>
      </c>
      <c r="B106" s="57" t="str">
        <f t="shared" si="1"/>
        <v>skos:Concept</v>
      </c>
      <c r="C106" s="57" t="str">
        <f t="shared" si="2"/>
        <v>Experience</v>
      </c>
      <c r="D106" s="57" t="str">
        <f t="shared" si="3"/>
        <v>le_experience</v>
      </c>
      <c r="E106" s="57" t="str">
        <f t="shared" si="4"/>
        <v>Experience</v>
      </c>
      <c r="F106" s="57" t="str">
        <f t="shared" si="16"/>
        <v>le_person_competencies</v>
      </c>
    </row>
    <row r="107">
      <c r="A107" s="62" t="s">
        <v>391</v>
      </c>
      <c r="B107" s="63" t="str">
        <f t="shared" si="1"/>
        <v>skos:Concept</v>
      </c>
      <c r="C107" s="63" t="str">
        <f t="shared" si="2"/>
        <v>Distribution</v>
      </c>
      <c r="D107" s="63" t="str">
        <f t="shared" si="3"/>
        <v>le_distribution</v>
      </c>
      <c r="E107" s="63" t="str">
        <f t="shared" si="4"/>
        <v>Distribution</v>
      </c>
      <c r="F107" s="63" t="str">
        <f t="shared" ref="F107:F116" si="17">A$2</f>
        <v>le_activities</v>
      </c>
      <c r="G107" s="63"/>
      <c r="H107" s="63"/>
      <c r="I107" s="63"/>
      <c r="J107" s="63"/>
      <c r="K107" s="63"/>
      <c r="L107" s="63"/>
      <c r="M107" s="63"/>
      <c r="N107" s="63"/>
      <c r="O107" s="63"/>
      <c r="P107" s="63"/>
      <c r="Q107" s="63"/>
      <c r="R107" s="63"/>
      <c r="S107" s="63"/>
      <c r="T107" s="63"/>
      <c r="U107" s="63"/>
      <c r="V107" s="63"/>
      <c r="W107" s="63"/>
      <c r="X107" s="63"/>
      <c r="Y107" s="63"/>
      <c r="Z107" s="63"/>
      <c r="AA107" s="63"/>
    </row>
    <row r="108">
      <c r="A108" s="6" t="s">
        <v>392</v>
      </c>
      <c r="B108" s="57" t="str">
        <f t="shared" si="1"/>
        <v>skos:Concept</v>
      </c>
      <c r="C108" s="57" t="str">
        <f t="shared" si="2"/>
        <v>Access</v>
      </c>
      <c r="D108" s="57" t="str">
        <f t="shared" si="3"/>
        <v>le_access</v>
      </c>
      <c r="E108" s="57" t="str">
        <f t="shared" si="4"/>
        <v>Access</v>
      </c>
      <c r="F108" s="57" t="str">
        <f t="shared" si="17"/>
        <v>le_activities</v>
      </c>
    </row>
    <row r="109">
      <c r="A109" s="6" t="s">
        <v>393</v>
      </c>
      <c r="B109" s="57" t="str">
        <f t="shared" si="1"/>
        <v>skos:Concept</v>
      </c>
      <c r="C109" s="57" t="str">
        <f t="shared" si="2"/>
        <v>Retrieval</v>
      </c>
      <c r="D109" s="57" t="str">
        <f t="shared" si="3"/>
        <v>le_retrieval</v>
      </c>
      <c r="E109" s="57" t="str">
        <f t="shared" si="4"/>
        <v>Retrieval</v>
      </c>
      <c r="F109" s="57" t="str">
        <f t="shared" si="17"/>
        <v>le_activities</v>
      </c>
    </row>
    <row r="110">
      <c r="A110" s="6" t="s">
        <v>394</v>
      </c>
      <c r="B110" s="57" t="str">
        <f t="shared" si="1"/>
        <v>skos:Concept</v>
      </c>
      <c r="C110" s="57" t="str">
        <f t="shared" si="2"/>
        <v>Use</v>
      </c>
      <c r="D110" s="57" t="str">
        <f t="shared" si="3"/>
        <v>le_use</v>
      </c>
      <c r="E110" s="57" t="str">
        <f t="shared" si="4"/>
        <v>Use</v>
      </c>
      <c r="F110" s="57" t="str">
        <f t="shared" si="17"/>
        <v>le_activities</v>
      </c>
    </row>
    <row r="111">
      <c r="A111" s="6" t="s">
        <v>395</v>
      </c>
      <c r="B111" s="57" t="str">
        <f t="shared" si="1"/>
        <v>skos:Concept</v>
      </c>
      <c r="C111" s="57" t="str">
        <f t="shared" si="2"/>
        <v>Storage</v>
      </c>
      <c r="D111" s="57" t="str">
        <f t="shared" si="3"/>
        <v>le_storage</v>
      </c>
      <c r="E111" s="57" t="str">
        <f t="shared" si="4"/>
        <v>Storage</v>
      </c>
      <c r="F111" s="57" t="str">
        <f t="shared" si="17"/>
        <v>le_activities</v>
      </c>
    </row>
    <row r="112">
      <c r="A112" s="6" t="s">
        <v>396</v>
      </c>
      <c r="B112" s="57" t="str">
        <f t="shared" si="1"/>
        <v>skos:Concept</v>
      </c>
      <c r="C112" s="57" t="str">
        <f t="shared" si="2"/>
        <v>Preservation</v>
      </c>
      <c r="D112" s="57" t="str">
        <f t="shared" si="3"/>
        <v>le_preservation</v>
      </c>
      <c r="E112" s="57" t="str">
        <f t="shared" si="4"/>
        <v>Preservation</v>
      </c>
      <c r="F112" s="57" t="str">
        <f t="shared" si="17"/>
        <v>le_activities</v>
      </c>
    </row>
    <row r="113">
      <c r="A113" s="6" t="s">
        <v>313</v>
      </c>
      <c r="B113" s="57" t="str">
        <f t="shared" si="1"/>
        <v>skos:Concept</v>
      </c>
      <c r="C113" s="57" t="str">
        <f t="shared" si="2"/>
        <v>Preservation Of Legibility</v>
      </c>
      <c r="D113" s="57" t="str">
        <f t="shared" si="3"/>
        <v>le_preservation_of_legibility</v>
      </c>
      <c r="E113" s="57" t="str">
        <f t="shared" si="4"/>
        <v>Preservation Of Legibility</v>
      </c>
      <c r="F113" s="57" t="str">
        <f t="shared" si="17"/>
        <v>le_activities</v>
      </c>
    </row>
    <row r="114">
      <c r="A114" s="6" t="s">
        <v>296</v>
      </c>
      <c r="B114" s="57" t="str">
        <f t="shared" si="1"/>
        <v>skos:Concept</v>
      </c>
      <c r="C114" s="57" t="str">
        <f t="shared" si="2"/>
        <v>Control Of Changes</v>
      </c>
      <c r="D114" s="57" t="str">
        <f t="shared" si="3"/>
        <v>le_control_of_changes</v>
      </c>
      <c r="E114" s="57" t="str">
        <f t="shared" si="4"/>
        <v>Control Of Changes</v>
      </c>
      <c r="F114" s="57" t="str">
        <f t="shared" si="17"/>
        <v>le_activities</v>
      </c>
    </row>
    <row r="115">
      <c r="A115" s="6" t="s">
        <v>397</v>
      </c>
      <c r="B115" s="57" t="str">
        <f t="shared" si="1"/>
        <v>skos:Concept</v>
      </c>
      <c r="C115" s="57" t="str">
        <f t="shared" si="2"/>
        <v>Retention</v>
      </c>
      <c r="D115" s="57" t="str">
        <f t="shared" si="3"/>
        <v>le_retention</v>
      </c>
      <c r="E115" s="57" t="str">
        <f t="shared" si="4"/>
        <v>Retention</v>
      </c>
      <c r="F115" s="57" t="str">
        <f t="shared" si="17"/>
        <v>le_activities</v>
      </c>
    </row>
    <row r="116">
      <c r="A116" s="6" t="s">
        <v>398</v>
      </c>
      <c r="B116" s="57" t="str">
        <f t="shared" si="1"/>
        <v>skos:Concept</v>
      </c>
      <c r="C116" s="57" t="str">
        <f t="shared" si="2"/>
        <v>Disposition</v>
      </c>
      <c r="D116" s="57" t="str">
        <f t="shared" si="3"/>
        <v>le_disposition</v>
      </c>
      <c r="E116" s="57" t="str">
        <f t="shared" si="4"/>
        <v>Disposition</v>
      </c>
      <c r="F116" s="57" t="str">
        <f t="shared" si="17"/>
        <v>le_activities</v>
      </c>
    </row>
    <row r="117">
      <c r="A117" s="62" t="s">
        <v>399</v>
      </c>
      <c r="B117" s="63" t="str">
        <f t="shared" si="1"/>
        <v>skos:Collection</v>
      </c>
      <c r="C117" s="63" t="str">
        <f t="shared" si="2"/>
        <v>Identification And Description</v>
      </c>
      <c r="D117" s="63" t="str">
        <f t="shared" si="3"/>
        <v>le_identification_and_description</v>
      </c>
      <c r="E117" s="63" t="str">
        <f t="shared" si="4"/>
        <v>Identification And Description</v>
      </c>
      <c r="F117" s="62" t="s">
        <v>400</v>
      </c>
      <c r="G117" s="63" t="str">
        <f>CONCATENATE(A121,", ",A122,", ",A123,", ",A124)</f>
        <v>le_title, le_date, le_author, le_reference_number</v>
      </c>
      <c r="H117" s="63"/>
      <c r="I117" s="63"/>
      <c r="J117" s="63"/>
      <c r="K117" s="63"/>
      <c r="L117" s="63"/>
      <c r="M117" s="63"/>
      <c r="N117" s="63"/>
      <c r="O117" s="63"/>
      <c r="P117" s="63"/>
      <c r="Q117" s="63"/>
      <c r="R117" s="63"/>
      <c r="S117" s="63"/>
      <c r="T117" s="63"/>
      <c r="U117" s="63"/>
      <c r="V117" s="63"/>
      <c r="W117" s="63"/>
      <c r="X117" s="63"/>
      <c r="Y117" s="63"/>
      <c r="Z117" s="63"/>
      <c r="AA117" s="63"/>
    </row>
    <row r="118">
      <c r="A118" s="6" t="s">
        <v>401</v>
      </c>
      <c r="B118" s="57" t="str">
        <f t="shared" si="1"/>
        <v>skos:Collection</v>
      </c>
      <c r="C118" s="57" t="str">
        <f t="shared" si="2"/>
        <v>Format</v>
      </c>
      <c r="D118" s="57" t="str">
        <f t="shared" si="3"/>
        <v>le_format</v>
      </c>
      <c r="E118" s="57" t="str">
        <f t="shared" si="4"/>
        <v>Format</v>
      </c>
      <c r="F118" s="6" t="s">
        <v>400</v>
      </c>
      <c r="G118" s="57" t="str">
        <f>CONCATENATE(A125,", ",A126,", ",A127)</f>
        <v>le_language, le_software_version, le_graphic</v>
      </c>
    </row>
    <row r="119">
      <c r="A119" s="6" t="s">
        <v>402</v>
      </c>
      <c r="B119" s="57" t="str">
        <f t="shared" si="1"/>
        <v>skos:Collection</v>
      </c>
      <c r="C119" s="57" t="str">
        <f t="shared" si="2"/>
        <v>Media</v>
      </c>
      <c r="D119" s="57" t="str">
        <f t="shared" si="3"/>
        <v>le_media</v>
      </c>
      <c r="E119" s="57" t="str">
        <f t="shared" si="4"/>
        <v>Media</v>
      </c>
      <c r="F119" s="6" t="s">
        <v>400</v>
      </c>
      <c r="G119" s="57" t="str">
        <f>CONCATENATE(A128,", ",A129)</f>
        <v>le_paper, le_electronic</v>
      </c>
    </row>
    <row r="120">
      <c r="A120" s="6" t="s">
        <v>403</v>
      </c>
      <c r="B120" s="57" t="str">
        <f t="shared" si="1"/>
        <v>skos:Collection</v>
      </c>
      <c r="C120" s="57" t="str">
        <f t="shared" si="2"/>
        <v>Protection</v>
      </c>
      <c r="D120" s="57" t="str">
        <f t="shared" si="3"/>
        <v>le_protection</v>
      </c>
      <c r="E120" s="57" t="str">
        <f t="shared" si="4"/>
        <v>Protection</v>
      </c>
      <c r="F120" s="6" t="s">
        <v>400</v>
      </c>
      <c r="G120" s="57" t="str">
        <f>CONCATENATE(A130,", ",A131,", ",A132)</f>
        <v>le_loss_of_confidentiality, le_improper_use, le_loss_of_integrity</v>
      </c>
    </row>
    <row r="121">
      <c r="A121" s="6" t="s">
        <v>404</v>
      </c>
      <c r="B121" s="57" t="str">
        <f t="shared" si="1"/>
        <v>skos:Concept</v>
      </c>
      <c r="C121" s="57" t="str">
        <f t="shared" si="2"/>
        <v>Title</v>
      </c>
      <c r="D121" s="57" t="str">
        <f t="shared" si="3"/>
        <v>le_title</v>
      </c>
      <c r="E121" s="57" t="str">
        <f t="shared" si="4"/>
        <v>Title</v>
      </c>
      <c r="F121" s="57" t="str">
        <f t="shared" ref="F121:F124" si="18">A$117</f>
        <v>le_identification_and_description</v>
      </c>
    </row>
    <row r="122">
      <c r="A122" s="6" t="s">
        <v>405</v>
      </c>
      <c r="B122" s="57" t="str">
        <f t="shared" si="1"/>
        <v>skos:Concept</v>
      </c>
      <c r="C122" s="57" t="str">
        <f t="shared" si="2"/>
        <v>Date</v>
      </c>
      <c r="D122" s="57" t="str">
        <f t="shared" si="3"/>
        <v>le_date</v>
      </c>
      <c r="E122" s="57" t="str">
        <f t="shared" si="4"/>
        <v>Date</v>
      </c>
      <c r="F122" s="57" t="str">
        <f t="shared" si="18"/>
        <v>le_identification_and_description</v>
      </c>
    </row>
    <row r="123">
      <c r="A123" s="6" t="s">
        <v>406</v>
      </c>
      <c r="B123" s="57" t="str">
        <f t="shared" si="1"/>
        <v>skos:Concept</v>
      </c>
      <c r="C123" s="57" t="str">
        <f t="shared" si="2"/>
        <v>Author</v>
      </c>
      <c r="D123" s="57" t="str">
        <f t="shared" si="3"/>
        <v>le_author</v>
      </c>
      <c r="E123" s="57" t="str">
        <f t="shared" si="4"/>
        <v>Author</v>
      </c>
      <c r="F123" s="57" t="str">
        <f t="shared" si="18"/>
        <v>le_identification_and_description</v>
      </c>
    </row>
    <row r="124">
      <c r="A124" s="6" t="s">
        <v>407</v>
      </c>
      <c r="B124" s="57" t="str">
        <f t="shared" si="1"/>
        <v>skos:Concept</v>
      </c>
      <c r="C124" s="57" t="str">
        <f t="shared" si="2"/>
        <v>Reference Number</v>
      </c>
      <c r="D124" s="57" t="str">
        <f t="shared" si="3"/>
        <v>le_reference_number</v>
      </c>
      <c r="E124" s="57" t="str">
        <f t="shared" si="4"/>
        <v>Reference Number</v>
      </c>
      <c r="F124" s="57" t="str">
        <f t="shared" si="18"/>
        <v>le_identification_and_description</v>
      </c>
    </row>
    <row r="125">
      <c r="A125" s="6" t="s">
        <v>408</v>
      </c>
      <c r="B125" s="57" t="str">
        <f t="shared" si="1"/>
        <v>skos:Concept</v>
      </c>
      <c r="C125" s="57" t="str">
        <f t="shared" si="2"/>
        <v>Language</v>
      </c>
      <c r="D125" s="57" t="str">
        <f t="shared" si="3"/>
        <v>le_language</v>
      </c>
      <c r="E125" s="57" t="str">
        <f t="shared" si="4"/>
        <v>Language</v>
      </c>
      <c r="F125" s="57" t="str">
        <f t="shared" ref="F125:F127" si="19">A$118</f>
        <v>le_format</v>
      </c>
    </row>
    <row r="126">
      <c r="A126" s="6" t="s">
        <v>409</v>
      </c>
      <c r="B126" s="57" t="str">
        <f t="shared" si="1"/>
        <v>skos:Concept</v>
      </c>
      <c r="C126" s="57" t="str">
        <f t="shared" si="2"/>
        <v>Software Version</v>
      </c>
      <c r="D126" s="57" t="str">
        <f t="shared" si="3"/>
        <v>le_software_version</v>
      </c>
      <c r="E126" s="57" t="str">
        <f t="shared" si="4"/>
        <v>Software Version</v>
      </c>
      <c r="F126" s="57" t="str">
        <f t="shared" si="19"/>
        <v>le_format</v>
      </c>
    </row>
    <row r="127">
      <c r="A127" s="6" t="s">
        <v>410</v>
      </c>
      <c r="B127" s="57" t="str">
        <f t="shared" si="1"/>
        <v>skos:Concept</v>
      </c>
      <c r="C127" s="57" t="str">
        <f t="shared" si="2"/>
        <v>Graphic</v>
      </c>
      <c r="D127" s="57" t="str">
        <f t="shared" si="3"/>
        <v>le_graphic</v>
      </c>
      <c r="E127" s="57" t="str">
        <f t="shared" si="4"/>
        <v>Graphic</v>
      </c>
      <c r="F127" s="57" t="str">
        <f t="shared" si="19"/>
        <v>le_format</v>
      </c>
    </row>
    <row r="128">
      <c r="A128" s="6" t="s">
        <v>411</v>
      </c>
      <c r="B128" s="57" t="str">
        <f t="shared" si="1"/>
        <v>skos:Concept</v>
      </c>
      <c r="C128" s="57" t="str">
        <f t="shared" si="2"/>
        <v>Paper</v>
      </c>
      <c r="D128" s="57" t="str">
        <f t="shared" si="3"/>
        <v>le_paper</v>
      </c>
      <c r="E128" s="57" t="str">
        <f t="shared" si="4"/>
        <v>Paper</v>
      </c>
      <c r="F128" s="57" t="str">
        <f t="shared" ref="F128:F129" si="20">A$119</f>
        <v>le_media</v>
      </c>
    </row>
    <row r="129">
      <c r="A129" s="6" t="s">
        <v>412</v>
      </c>
      <c r="B129" s="57" t="str">
        <f t="shared" si="1"/>
        <v>skos:Concept</v>
      </c>
      <c r="C129" s="57" t="str">
        <f t="shared" si="2"/>
        <v>Electronic</v>
      </c>
      <c r="D129" s="57" t="str">
        <f t="shared" si="3"/>
        <v>le_electronic</v>
      </c>
      <c r="E129" s="57" t="str">
        <f t="shared" si="4"/>
        <v>Electronic</v>
      </c>
      <c r="F129" s="57" t="str">
        <f t="shared" si="20"/>
        <v>le_media</v>
      </c>
    </row>
    <row r="130">
      <c r="A130" s="6" t="s">
        <v>413</v>
      </c>
      <c r="B130" s="57" t="str">
        <f t="shared" si="1"/>
        <v>skos:Concept</v>
      </c>
      <c r="C130" s="57" t="str">
        <f t="shared" si="2"/>
        <v>Loss Of Confidentiality</v>
      </c>
      <c r="D130" s="57" t="str">
        <f t="shared" si="3"/>
        <v>le_loss_of_confidentiality</v>
      </c>
      <c r="E130" s="57" t="str">
        <f t="shared" si="4"/>
        <v>Loss Of Confidentiality</v>
      </c>
      <c r="F130" s="57" t="str">
        <f t="shared" ref="F130:F132" si="21">A$120</f>
        <v>le_protection</v>
      </c>
    </row>
    <row r="131">
      <c r="A131" s="6" t="s">
        <v>414</v>
      </c>
      <c r="B131" s="57" t="str">
        <f t="shared" si="1"/>
        <v>skos:Concept</v>
      </c>
      <c r="C131" s="57" t="str">
        <f t="shared" si="2"/>
        <v>Improper Use</v>
      </c>
      <c r="D131" s="57" t="str">
        <f t="shared" si="3"/>
        <v>le_improper_use</v>
      </c>
      <c r="E131" s="57" t="str">
        <f t="shared" si="4"/>
        <v>Improper Use</v>
      </c>
      <c r="F131" s="57" t="str">
        <f t="shared" si="21"/>
        <v>le_protection</v>
      </c>
    </row>
    <row r="132">
      <c r="A132" s="6" t="s">
        <v>415</v>
      </c>
      <c r="B132" s="57" t="str">
        <f t="shared" si="1"/>
        <v>skos:Concept</v>
      </c>
      <c r="C132" s="57" t="str">
        <f t="shared" si="2"/>
        <v>Loss Of Integrity</v>
      </c>
      <c r="D132" s="57" t="str">
        <f t="shared" si="3"/>
        <v>le_loss_of_integrity</v>
      </c>
      <c r="E132" s="57" t="str">
        <f t="shared" si="4"/>
        <v>Loss Of Integrity</v>
      </c>
      <c r="F132" s="57" t="str">
        <f t="shared" si="21"/>
        <v>le_protection</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25"/>
    <col customWidth="1" min="2" max="2" width="5.38"/>
    <col customWidth="1" min="4" max="4" width="22.13"/>
    <col customWidth="1" min="5" max="5" width="10.5"/>
    <col customWidth="1" min="7" max="7" width="32.63"/>
    <col customWidth="1" min="8" max="8" width="9.75"/>
    <col customWidth="1" min="11" max="11" width="8.88"/>
    <col customWidth="1" min="12" max="12" width="46.75"/>
    <col customWidth="1" min="13" max="13" width="9.0"/>
    <col customWidth="1" min="16" max="16" width="23.0"/>
    <col customWidth="1" min="23" max="23" width="20.0"/>
  </cols>
  <sheetData>
    <row r="1">
      <c r="A1" s="64" t="s">
        <v>416</v>
      </c>
      <c r="B1" s="64" t="s">
        <v>417</v>
      </c>
      <c r="C1" s="64" t="s">
        <v>418</v>
      </c>
      <c r="D1" s="64" t="s">
        <v>419</v>
      </c>
      <c r="E1" s="64" t="s">
        <v>420</v>
      </c>
      <c r="F1" s="64" t="s">
        <v>421</v>
      </c>
      <c r="G1" s="64" t="s">
        <v>422</v>
      </c>
      <c r="H1" s="64" t="s">
        <v>423</v>
      </c>
      <c r="I1" s="64" t="s">
        <v>424</v>
      </c>
      <c r="J1" s="64" t="s">
        <v>425</v>
      </c>
      <c r="K1" s="64" t="s">
        <v>426</v>
      </c>
      <c r="L1" s="64" t="s">
        <v>427</v>
      </c>
      <c r="M1" s="64" t="s">
        <v>428</v>
      </c>
      <c r="N1" s="64" t="s">
        <v>429</v>
      </c>
      <c r="O1" s="64" t="s">
        <v>430</v>
      </c>
      <c r="P1" s="64" t="s">
        <v>431</v>
      </c>
      <c r="Q1" s="64" t="s">
        <v>432</v>
      </c>
      <c r="R1" s="65" t="s">
        <v>433</v>
      </c>
      <c r="S1" s="65" t="s">
        <v>434</v>
      </c>
      <c r="T1" s="65" t="s">
        <v>435</v>
      </c>
      <c r="U1" s="66" t="s">
        <v>436</v>
      </c>
      <c r="V1" s="66" t="s">
        <v>437</v>
      </c>
      <c r="W1" s="66" t="s">
        <v>438</v>
      </c>
      <c r="X1" s="66" t="s">
        <v>439</v>
      </c>
      <c r="Y1" s="66" t="s">
        <v>440</v>
      </c>
      <c r="Z1" s="66" t="s">
        <v>441</v>
      </c>
      <c r="AA1" s="66" t="s">
        <v>442</v>
      </c>
      <c r="AB1" s="66" t="s">
        <v>443</v>
      </c>
      <c r="AC1" s="66" t="s">
        <v>444</v>
      </c>
      <c r="AD1" s="65" t="s">
        <v>445</v>
      </c>
    </row>
    <row r="2">
      <c r="A2" s="67" t="s">
        <v>446</v>
      </c>
      <c r="B2" s="68">
        <v>1.0</v>
      </c>
      <c r="C2" s="67" t="s">
        <v>447</v>
      </c>
      <c r="D2" s="67" t="s">
        <v>448</v>
      </c>
      <c r="E2" s="68">
        <v>1.0</v>
      </c>
      <c r="F2" s="67" t="s">
        <v>449</v>
      </c>
      <c r="G2" s="67" t="s">
        <v>450</v>
      </c>
      <c r="H2" s="68">
        <v>3.0</v>
      </c>
      <c r="I2" s="67" t="s">
        <v>451</v>
      </c>
      <c r="J2" s="67" t="s">
        <v>452</v>
      </c>
      <c r="K2" s="68">
        <v>1.0</v>
      </c>
      <c r="L2" s="67" t="s">
        <v>453</v>
      </c>
      <c r="M2" s="68">
        <v>29.0</v>
      </c>
      <c r="N2" s="67" t="s">
        <v>454</v>
      </c>
      <c r="Q2" s="67" t="s">
        <v>455</v>
      </c>
      <c r="R2" s="21"/>
      <c r="S2" s="21"/>
      <c r="T2" s="21"/>
      <c r="U2" s="21"/>
      <c r="V2" s="21"/>
      <c r="W2" s="21"/>
      <c r="X2" s="21"/>
      <c r="Y2" s="21"/>
      <c r="Z2" s="21"/>
      <c r="AA2" s="21"/>
      <c r="AB2" s="21"/>
      <c r="AC2" s="21"/>
      <c r="AD2" s="21"/>
    </row>
    <row r="3">
      <c r="A3" s="67" t="s">
        <v>446</v>
      </c>
      <c r="B3" s="68">
        <v>1.0</v>
      </c>
      <c r="C3" s="67" t="s">
        <v>447</v>
      </c>
      <c r="D3" s="67" t="s">
        <v>448</v>
      </c>
      <c r="E3" s="68">
        <v>1.0</v>
      </c>
      <c r="F3" s="67" t="s">
        <v>449</v>
      </c>
      <c r="G3" s="67" t="s">
        <v>450</v>
      </c>
      <c r="H3" s="68">
        <v>3.0</v>
      </c>
      <c r="I3" s="67" t="s">
        <v>451</v>
      </c>
      <c r="J3" s="67" t="s">
        <v>452</v>
      </c>
      <c r="K3" s="68">
        <v>1.0</v>
      </c>
      <c r="L3" s="67" t="s">
        <v>453</v>
      </c>
      <c r="M3" s="68">
        <v>30.0</v>
      </c>
      <c r="N3" s="67" t="s">
        <v>456</v>
      </c>
      <c r="Q3" s="67" t="s">
        <v>457</v>
      </c>
      <c r="R3" s="21"/>
      <c r="S3" s="21"/>
      <c r="T3" s="21"/>
      <c r="U3" s="21"/>
      <c r="V3" s="21"/>
      <c r="W3" s="21"/>
      <c r="X3" s="21"/>
      <c r="Y3" s="21"/>
      <c r="Z3" s="21"/>
      <c r="AA3" s="21"/>
      <c r="AB3" s="21"/>
      <c r="AC3" s="21"/>
      <c r="AD3" s="21"/>
    </row>
    <row r="4">
      <c r="A4" s="67" t="s">
        <v>446</v>
      </c>
      <c r="B4" s="68">
        <v>1.0</v>
      </c>
      <c r="C4" s="67" t="s">
        <v>447</v>
      </c>
      <c r="D4" s="67" t="s">
        <v>448</v>
      </c>
      <c r="E4" s="68">
        <v>1.0</v>
      </c>
      <c r="F4" s="67" t="s">
        <v>449</v>
      </c>
      <c r="G4" s="67" t="s">
        <v>450</v>
      </c>
      <c r="H4" s="68">
        <v>3.0</v>
      </c>
      <c r="I4" s="67" t="s">
        <v>451</v>
      </c>
      <c r="J4" s="67" t="s">
        <v>452</v>
      </c>
      <c r="K4" s="68">
        <v>1.0</v>
      </c>
      <c r="L4" s="67" t="s">
        <v>453</v>
      </c>
      <c r="M4" s="68">
        <v>31.0</v>
      </c>
      <c r="N4" s="67" t="s">
        <v>458</v>
      </c>
      <c r="Q4" s="67" t="s">
        <v>459</v>
      </c>
      <c r="R4" s="21"/>
      <c r="S4" s="21"/>
      <c r="T4" s="21"/>
      <c r="U4" s="21"/>
      <c r="V4" s="21"/>
      <c r="W4" s="21"/>
      <c r="X4" s="21"/>
      <c r="Y4" s="21"/>
      <c r="Z4" s="21"/>
      <c r="AA4" s="21"/>
      <c r="AB4" s="21"/>
      <c r="AC4" s="21"/>
      <c r="AD4" s="21"/>
    </row>
    <row r="5">
      <c r="A5" s="67" t="s">
        <v>446</v>
      </c>
      <c r="B5" s="68">
        <v>1.0</v>
      </c>
      <c r="C5" s="67" t="s">
        <v>447</v>
      </c>
      <c r="D5" s="67" t="s">
        <v>448</v>
      </c>
      <c r="E5" s="68">
        <v>1.0</v>
      </c>
      <c r="F5" s="67" t="s">
        <v>449</v>
      </c>
      <c r="G5" s="67" t="s">
        <v>450</v>
      </c>
      <c r="H5" s="68">
        <v>3.0</v>
      </c>
      <c r="I5" s="67" t="s">
        <v>451</v>
      </c>
      <c r="J5" s="67" t="s">
        <v>452</v>
      </c>
      <c r="K5" s="68">
        <v>1.0</v>
      </c>
      <c r="L5" s="67" t="s">
        <v>453</v>
      </c>
      <c r="M5" s="68">
        <v>32.0</v>
      </c>
      <c r="N5" s="67" t="s">
        <v>460</v>
      </c>
      <c r="Q5" s="67" t="s">
        <v>461</v>
      </c>
      <c r="R5" s="21"/>
      <c r="S5" s="21"/>
      <c r="T5" s="21"/>
      <c r="U5" s="21"/>
      <c r="V5" s="21"/>
      <c r="W5" s="21"/>
      <c r="X5" s="21"/>
      <c r="Y5" s="21"/>
      <c r="Z5" s="21"/>
      <c r="AA5" s="21"/>
      <c r="AB5" s="21"/>
      <c r="AC5" s="21"/>
      <c r="AD5" s="21"/>
    </row>
    <row r="6">
      <c r="A6" s="67" t="s">
        <v>446</v>
      </c>
      <c r="B6" s="68">
        <v>1.0</v>
      </c>
      <c r="C6" s="67" t="s">
        <v>447</v>
      </c>
      <c r="D6" s="67" t="s">
        <v>448</v>
      </c>
      <c r="E6" s="68">
        <v>1.0</v>
      </c>
      <c r="F6" s="67" t="s">
        <v>449</v>
      </c>
      <c r="G6" s="67" t="s">
        <v>450</v>
      </c>
      <c r="H6" s="68">
        <v>3.0</v>
      </c>
      <c r="I6" s="67" t="s">
        <v>451</v>
      </c>
      <c r="J6" s="67" t="s">
        <v>452</v>
      </c>
      <c r="K6" s="68">
        <v>1.0</v>
      </c>
      <c r="L6" s="67" t="s">
        <v>453</v>
      </c>
      <c r="M6" s="68">
        <v>33.0</v>
      </c>
      <c r="N6" s="67" t="s">
        <v>462</v>
      </c>
      <c r="Q6" s="67" t="s">
        <v>463</v>
      </c>
      <c r="R6" s="21"/>
      <c r="S6" s="21"/>
      <c r="T6" s="21"/>
      <c r="U6" s="21"/>
      <c r="V6" s="21"/>
      <c r="W6" s="21"/>
      <c r="X6" s="21"/>
      <c r="Y6" s="21"/>
      <c r="Z6" s="21"/>
      <c r="AA6" s="21"/>
      <c r="AB6" s="21"/>
      <c r="AC6" s="21"/>
      <c r="AD6" s="21"/>
    </row>
    <row r="7">
      <c r="A7" s="67" t="s">
        <v>446</v>
      </c>
      <c r="B7" s="68">
        <v>1.0</v>
      </c>
      <c r="C7" s="67" t="s">
        <v>447</v>
      </c>
      <c r="D7" s="67" t="s">
        <v>448</v>
      </c>
      <c r="E7" s="68">
        <v>1.0</v>
      </c>
      <c r="F7" s="67" t="s">
        <v>449</v>
      </c>
      <c r="G7" s="67" t="s">
        <v>450</v>
      </c>
      <c r="H7" s="68">
        <v>3.0</v>
      </c>
      <c r="I7" s="67" t="s">
        <v>451</v>
      </c>
      <c r="J7" s="67" t="s">
        <v>452</v>
      </c>
      <c r="K7" s="68">
        <v>1.0</v>
      </c>
      <c r="L7" s="67" t="s">
        <v>453</v>
      </c>
      <c r="M7" s="68">
        <v>34.0</v>
      </c>
      <c r="N7" s="67" t="s">
        <v>464</v>
      </c>
      <c r="Q7" s="67" t="s">
        <v>465</v>
      </c>
      <c r="R7" s="21"/>
      <c r="S7" s="21"/>
      <c r="T7" s="21"/>
      <c r="U7" s="21"/>
      <c r="V7" s="21"/>
      <c r="W7" s="21"/>
      <c r="X7" s="21"/>
      <c r="Y7" s="21"/>
      <c r="Z7" s="21"/>
      <c r="AA7" s="21"/>
      <c r="AB7" s="21"/>
      <c r="AC7" s="21"/>
      <c r="AD7" s="21"/>
    </row>
    <row r="8">
      <c r="A8" s="67" t="s">
        <v>446</v>
      </c>
      <c r="B8" s="68">
        <v>1.0</v>
      </c>
      <c r="C8" s="67" t="s">
        <v>447</v>
      </c>
      <c r="D8" s="67" t="s">
        <v>448</v>
      </c>
      <c r="E8" s="68">
        <v>1.0</v>
      </c>
      <c r="F8" s="67" t="s">
        <v>449</v>
      </c>
      <c r="G8" s="67" t="s">
        <v>450</v>
      </c>
      <c r="H8" s="68">
        <v>3.0</v>
      </c>
      <c r="I8" s="67" t="s">
        <v>451</v>
      </c>
      <c r="J8" s="67" t="s">
        <v>452</v>
      </c>
      <c r="K8" s="68">
        <v>1.0</v>
      </c>
      <c r="L8" s="67" t="s">
        <v>453</v>
      </c>
      <c r="M8" s="68">
        <v>35.0</v>
      </c>
      <c r="N8" s="67" t="s">
        <v>466</v>
      </c>
      <c r="Q8" s="67" t="s">
        <v>467</v>
      </c>
      <c r="R8" s="21"/>
      <c r="S8" s="21"/>
      <c r="T8" s="21"/>
      <c r="U8" s="21"/>
      <c r="V8" s="21"/>
      <c r="W8" s="21"/>
      <c r="X8" s="21"/>
      <c r="Y8" s="21"/>
      <c r="Z8" s="21"/>
      <c r="AA8" s="21"/>
      <c r="AB8" s="21"/>
      <c r="AC8" s="21"/>
      <c r="AD8" s="21"/>
    </row>
    <row r="9">
      <c r="A9" s="67" t="s">
        <v>446</v>
      </c>
      <c r="B9" s="68">
        <v>1.0</v>
      </c>
      <c r="C9" s="67" t="s">
        <v>447</v>
      </c>
      <c r="D9" s="67" t="s">
        <v>448</v>
      </c>
      <c r="E9" s="68">
        <v>1.0</v>
      </c>
      <c r="F9" s="67" t="s">
        <v>449</v>
      </c>
      <c r="G9" s="67" t="s">
        <v>450</v>
      </c>
      <c r="H9" s="68">
        <v>3.0</v>
      </c>
      <c r="I9" s="67" t="s">
        <v>451</v>
      </c>
      <c r="J9" s="67" t="s">
        <v>452</v>
      </c>
      <c r="K9" s="68">
        <v>1.0</v>
      </c>
      <c r="L9" s="67" t="s">
        <v>453</v>
      </c>
      <c r="M9" s="68">
        <v>36.0</v>
      </c>
      <c r="N9" s="67" t="s">
        <v>468</v>
      </c>
      <c r="Q9" s="67" t="s">
        <v>469</v>
      </c>
      <c r="R9" s="21"/>
      <c r="S9" s="21"/>
      <c r="T9" s="21"/>
      <c r="U9" s="21"/>
      <c r="V9" s="21"/>
      <c r="W9" s="21"/>
      <c r="X9" s="21"/>
      <c r="Y9" s="21"/>
      <c r="Z9" s="21"/>
      <c r="AA9" s="21"/>
      <c r="AB9" s="21"/>
      <c r="AC9" s="21"/>
      <c r="AD9" s="21"/>
    </row>
    <row r="10">
      <c r="A10" s="67" t="s">
        <v>446</v>
      </c>
      <c r="B10" s="68">
        <v>1.0</v>
      </c>
      <c r="C10" s="67" t="s">
        <v>447</v>
      </c>
      <c r="D10" s="67" t="s">
        <v>448</v>
      </c>
      <c r="E10" s="68">
        <v>1.0</v>
      </c>
      <c r="F10" s="67" t="s">
        <v>449</v>
      </c>
      <c r="G10" s="67" t="s">
        <v>450</v>
      </c>
      <c r="H10" s="68">
        <v>3.0</v>
      </c>
      <c r="I10" s="67" t="s">
        <v>451</v>
      </c>
      <c r="J10" s="67" t="s">
        <v>452</v>
      </c>
      <c r="K10" s="68">
        <v>1.0</v>
      </c>
      <c r="L10" s="67" t="s">
        <v>453</v>
      </c>
      <c r="M10" s="68">
        <v>37.0</v>
      </c>
      <c r="N10" s="67" t="s">
        <v>470</v>
      </c>
      <c r="Q10" s="67" t="s">
        <v>471</v>
      </c>
      <c r="R10" s="21"/>
      <c r="S10" s="21"/>
      <c r="T10" s="21"/>
      <c r="U10" s="21"/>
      <c r="V10" s="21"/>
      <c r="W10" s="21"/>
      <c r="X10" s="21"/>
      <c r="Y10" s="21"/>
      <c r="Z10" s="21"/>
      <c r="AA10" s="21"/>
      <c r="AB10" s="21"/>
      <c r="AC10" s="21"/>
      <c r="AD10" s="21"/>
    </row>
    <row r="11">
      <c r="A11" s="67" t="s">
        <v>446</v>
      </c>
      <c r="B11" s="68">
        <v>2.0</v>
      </c>
      <c r="C11" s="67" t="s">
        <v>472</v>
      </c>
      <c r="D11" s="67" t="s">
        <v>473</v>
      </c>
      <c r="E11" s="68">
        <v>1.0</v>
      </c>
      <c r="F11" s="67" t="s">
        <v>449</v>
      </c>
      <c r="G11" s="67" t="s">
        <v>450</v>
      </c>
      <c r="H11" s="68">
        <v>5.0</v>
      </c>
      <c r="I11" s="67" t="s">
        <v>474</v>
      </c>
      <c r="J11" s="67" t="s">
        <v>475</v>
      </c>
      <c r="K11" s="68">
        <v>1.0</v>
      </c>
      <c r="L11" s="67" t="s">
        <v>476</v>
      </c>
      <c r="M11" s="67" t="s">
        <v>477</v>
      </c>
      <c r="N11" s="67" t="s">
        <v>478</v>
      </c>
      <c r="O11" s="67" t="s">
        <v>479</v>
      </c>
      <c r="P11" s="67" t="s">
        <v>480</v>
      </c>
      <c r="Q11" s="67" t="s">
        <v>481</v>
      </c>
      <c r="R11" s="21"/>
      <c r="S11" s="21"/>
      <c r="T11" s="21"/>
      <c r="U11" s="21"/>
      <c r="V11" s="21"/>
      <c r="W11" s="21"/>
      <c r="X11" s="21"/>
      <c r="Y11" s="21"/>
      <c r="Z11" s="21"/>
      <c r="AA11" s="21"/>
      <c r="AB11" s="21"/>
      <c r="AC11" s="21"/>
      <c r="AD11" s="21"/>
    </row>
    <row r="12">
      <c r="A12" s="67" t="s">
        <v>446</v>
      </c>
      <c r="B12" s="68">
        <v>3.0</v>
      </c>
      <c r="C12" s="67" t="s">
        <v>482</v>
      </c>
      <c r="D12" s="67" t="s">
        <v>483</v>
      </c>
      <c r="E12" s="68">
        <v>2.0</v>
      </c>
      <c r="F12" s="67" t="s">
        <v>484</v>
      </c>
      <c r="G12" s="67" t="s">
        <v>485</v>
      </c>
      <c r="H12" s="68">
        <v>9.0</v>
      </c>
      <c r="I12" s="67" t="s">
        <v>486</v>
      </c>
      <c r="J12" s="67" t="s">
        <v>487</v>
      </c>
      <c r="K12" s="68">
        <v>2.0</v>
      </c>
      <c r="L12" s="67" t="s">
        <v>488</v>
      </c>
      <c r="M12" s="67" t="s">
        <v>477</v>
      </c>
      <c r="N12" s="67" t="s">
        <v>489</v>
      </c>
      <c r="Q12" s="67" t="s">
        <v>490</v>
      </c>
      <c r="R12" s="21"/>
      <c r="S12" s="21"/>
      <c r="T12" s="21"/>
      <c r="U12" s="21"/>
      <c r="V12" s="21"/>
      <c r="W12" s="21"/>
      <c r="X12" s="21"/>
      <c r="Y12" s="21"/>
      <c r="Z12" s="21"/>
      <c r="AA12" s="21"/>
      <c r="AB12" s="21"/>
      <c r="AC12" s="21"/>
      <c r="AD12" s="21"/>
    </row>
    <row r="13">
      <c r="A13" s="67" t="s">
        <v>446</v>
      </c>
      <c r="B13" s="68">
        <v>3.0</v>
      </c>
      <c r="C13" s="67" t="s">
        <v>482</v>
      </c>
      <c r="D13" s="67" t="s">
        <v>483</v>
      </c>
      <c r="E13" s="68">
        <v>2.0</v>
      </c>
      <c r="F13" s="67" t="s">
        <v>484</v>
      </c>
      <c r="G13" s="67" t="s">
        <v>485</v>
      </c>
      <c r="H13" s="68">
        <v>10.0</v>
      </c>
      <c r="I13" s="67" t="s">
        <v>491</v>
      </c>
      <c r="J13" s="67" t="s">
        <v>492</v>
      </c>
      <c r="K13" s="68">
        <v>1.0</v>
      </c>
      <c r="L13" s="67" t="s">
        <v>493</v>
      </c>
      <c r="Q13" s="67" t="s">
        <v>494</v>
      </c>
      <c r="R13" s="21"/>
      <c r="S13" s="21"/>
      <c r="T13" s="21"/>
      <c r="U13" s="21"/>
      <c r="V13" s="21"/>
      <c r="W13" s="21"/>
      <c r="X13" s="21"/>
      <c r="Y13" s="21"/>
      <c r="Z13" s="21"/>
      <c r="AA13" s="21"/>
      <c r="AB13" s="21"/>
      <c r="AC13" s="21"/>
      <c r="AD13" s="21"/>
    </row>
    <row r="14">
      <c r="A14" s="67" t="s">
        <v>446</v>
      </c>
      <c r="B14" s="68">
        <v>3.0</v>
      </c>
      <c r="C14" s="67" t="s">
        <v>482</v>
      </c>
      <c r="D14" s="67" t="s">
        <v>483</v>
      </c>
      <c r="E14" s="68">
        <v>2.0</v>
      </c>
      <c r="F14" s="67" t="s">
        <v>484</v>
      </c>
      <c r="G14" s="67" t="s">
        <v>485</v>
      </c>
      <c r="H14" s="68">
        <v>10.0</v>
      </c>
      <c r="I14" s="67" t="s">
        <v>491</v>
      </c>
      <c r="J14" s="67" t="s">
        <v>492</v>
      </c>
      <c r="K14" s="68">
        <v>2.0</v>
      </c>
      <c r="L14" s="67" t="s">
        <v>495</v>
      </c>
      <c r="M14" s="67" t="s">
        <v>496</v>
      </c>
      <c r="N14" s="67" t="s">
        <v>497</v>
      </c>
      <c r="Q14" s="67" t="s">
        <v>498</v>
      </c>
      <c r="R14" s="21"/>
      <c r="S14" s="21"/>
      <c r="T14" s="21"/>
      <c r="U14" s="21"/>
      <c r="V14" s="21"/>
      <c r="W14" s="21"/>
      <c r="X14" s="21"/>
      <c r="Y14" s="21"/>
      <c r="Z14" s="21"/>
      <c r="AA14" s="21"/>
      <c r="AB14" s="21"/>
      <c r="AC14" s="21"/>
      <c r="AD14" s="21"/>
    </row>
    <row r="15">
      <c r="A15" s="67" t="s">
        <v>446</v>
      </c>
      <c r="B15" s="68">
        <v>3.0</v>
      </c>
      <c r="C15" s="67" t="s">
        <v>482</v>
      </c>
      <c r="D15" s="67" t="s">
        <v>483</v>
      </c>
      <c r="E15" s="68">
        <v>2.0</v>
      </c>
      <c r="F15" s="67" t="s">
        <v>484</v>
      </c>
      <c r="G15" s="67" t="s">
        <v>485</v>
      </c>
      <c r="H15" s="68">
        <v>10.0</v>
      </c>
      <c r="I15" s="67" t="s">
        <v>491</v>
      </c>
      <c r="J15" s="67" t="s">
        <v>492</v>
      </c>
      <c r="K15" s="68">
        <v>2.0</v>
      </c>
      <c r="L15" s="67" t="s">
        <v>495</v>
      </c>
      <c r="M15" s="67" t="s">
        <v>499</v>
      </c>
      <c r="N15" s="67" t="s">
        <v>500</v>
      </c>
      <c r="P15" s="21"/>
      <c r="Q15" s="67" t="s">
        <v>501</v>
      </c>
      <c r="R15" s="21"/>
      <c r="S15" s="21"/>
      <c r="T15" s="21"/>
      <c r="U15" s="21"/>
      <c r="V15" s="21"/>
      <c r="W15" s="21"/>
      <c r="X15" s="21"/>
      <c r="Y15" s="21"/>
      <c r="Z15" s="21"/>
      <c r="AA15" s="21"/>
      <c r="AB15" s="21"/>
      <c r="AC15" s="21"/>
      <c r="AD15" s="21"/>
    </row>
    <row r="16">
      <c r="A16" s="67" t="s">
        <v>446</v>
      </c>
      <c r="B16" s="68">
        <v>3.0</v>
      </c>
      <c r="C16" s="67" t="s">
        <v>482</v>
      </c>
      <c r="D16" s="67" t="s">
        <v>483</v>
      </c>
      <c r="E16" s="68">
        <v>2.0</v>
      </c>
      <c r="F16" s="67" t="s">
        <v>484</v>
      </c>
      <c r="G16" s="67" t="s">
        <v>485</v>
      </c>
      <c r="H16" s="68">
        <v>10.0</v>
      </c>
      <c r="I16" s="67" t="s">
        <v>491</v>
      </c>
      <c r="J16" s="67" t="s">
        <v>492</v>
      </c>
      <c r="K16" s="68">
        <v>2.0</v>
      </c>
      <c r="L16" s="67" t="s">
        <v>495</v>
      </c>
      <c r="M16" s="67" t="s">
        <v>477</v>
      </c>
      <c r="N16" s="67" t="s">
        <v>502</v>
      </c>
      <c r="Q16" s="67" t="s">
        <v>503</v>
      </c>
      <c r="R16" s="21"/>
      <c r="S16" s="21"/>
      <c r="T16" s="21"/>
      <c r="U16" s="21"/>
      <c r="V16" s="21"/>
      <c r="W16" s="21"/>
      <c r="X16" s="21"/>
      <c r="Y16" s="21"/>
      <c r="Z16" s="21"/>
      <c r="AA16" s="21"/>
      <c r="AB16" s="21"/>
      <c r="AC16" s="21"/>
      <c r="AD16" s="21"/>
    </row>
    <row r="17">
      <c r="A17" s="67" t="s">
        <v>446</v>
      </c>
      <c r="B17" s="68">
        <v>3.0</v>
      </c>
      <c r="C17" s="67" t="s">
        <v>482</v>
      </c>
      <c r="D17" s="67" t="s">
        <v>483</v>
      </c>
      <c r="E17" s="68">
        <v>2.0</v>
      </c>
      <c r="F17" s="67" t="s">
        <v>484</v>
      </c>
      <c r="G17" s="67" t="s">
        <v>485</v>
      </c>
      <c r="H17" s="68">
        <v>10.0</v>
      </c>
      <c r="I17" s="67" t="s">
        <v>491</v>
      </c>
      <c r="J17" s="67" t="s">
        <v>492</v>
      </c>
      <c r="K17" s="68">
        <v>2.0</v>
      </c>
      <c r="L17" s="67" t="s">
        <v>495</v>
      </c>
      <c r="M17" s="67" t="s">
        <v>504</v>
      </c>
      <c r="N17" s="67" t="s">
        <v>505</v>
      </c>
      <c r="Q17" s="67" t="s">
        <v>506</v>
      </c>
      <c r="R17" s="21"/>
      <c r="S17" s="21"/>
      <c r="T17" s="21"/>
      <c r="U17" s="21"/>
      <c r="V17" s="21"/>
      <c r="W17" s="21"/>
      <c r="X17" s="21"/>
      <c r="Y17" s="21"/>
      <c r="Z17" s="21"/>
      <c r="AA17" s="21"/>
      <c r="AB17" s="21"/>
      <c r="AC17" s="21"/>
      <c r="AD17" s="21"/>
    </row>
    <row r="18">
      <c r="A18" s="67" t="s">
        <v>446</v>
      </c>
      <c r="B18" s="68">
        <v>3.0</v>
      </c>
      <c r="C18" s="67" t="s">
        <v>482</v>
      </c>
      <c r="D18" s="67" t="s">
        <v>483</v>
      </c>
      <c r="E18" s="68">
        <v>2.0</v>
      </c>
      <c r="F18" s="67" t="s">
        <v>484</v>
      </c>
      <c r="G18" s="67" t="s">
        <v>485</v>
      </c>
      <c r="H18" s="68">
        <v>10.0</v>
      </c>
      <c r="I18" s="67" t="s">
        <v>491</v>
      </c>
      <c r="J18" s="67" t="s">
        <v>492</v>
      </c>
      <c r="K18" s="68">
        <v>2.0</v>
      </c>
      <c r="L18" s="67" t="s">
        <v>495</v>
      </c>
      <c r="M18" s="67" t="s">
        <v>507</v>
      </c>
      <c r="N18" s="67" t="s">
        <v>508</v>
      </c>
      <c r="Q18" s="67" t="s">
        <v>509</v>
      </c>
      <c r="R18" s="21"/>
      <c r="S18" s="21"/>
      <c r="T18" s="21"/>
      <c r="U18" s="21"/>
      <c r="V18" s="21"/>
      <c r="W18" s="21"/>
      <c r="X18" s="21"/>
      <c r="Y18" s="21"/>
      <c r="Z18" s="21"/>
      <c r="AA18" s="21"/>
      <c r="AB18" s="21"/>
      <c r="AC18" s="21"/>
      <c r="AD18" s="21"/>
    </row>
    <row r="19">
      <c r="A19" s="67" t="s">
        <v>446</v>
      </c>
      <c r="B19" s="68">
        <v>3.0</v>
      </c>
      <c r="C19" s="67" t="s">
        <v>482</v>
      </c>
      <c r="D19" s="67" t="s">
        <v>483</v>
      </c>
      <c r="E19" s="68">
        <v>2.0</v>
      </c>
      <c r="F19" s="67" t="s">
        <v>484</v>
      </c>
      <c r="G19" s="67" t="s">
        <v>485</v>
      </c>
      <c r="H19" s="68">
        <v>10.0</v>
      </c>
      <c r="I19" s="67" t="s">
        <v>491</v>
      </c>
      <c r="J19" s="67" t="s">
        <v>492</v>
      </c>
      <c r="K19" s="68">
        <v>2.0</v>
      </c>
      <c r="L19" s="67" t="s">
        <v>495</v>
      </c>
      <c r="M19" s="67" t="s">
        <v>510</v>
      </c>
      <c r="N19" s="67" t="s">
        <v>511</v>
      </c>
      <c r="Q19" s="67" t="s">
        <v>512</v>
      </c>
      <c r="R19" s="21"/>
      <c r="S19" s="21"/>
      <c r="T19" s="21"/>
      <c r="U19" s="21"/>
      <c r="V19" s="21"/>
      <c r="W19" s="21"/>
      <c r="X19" s="21"/>
      <c r="Y19" s="21"/>
      <c r="Z19" s="21"/>
      <c r="AA19" s="21"/>
      <c r="AB19" s="21"/>
      <c r="AC19" s="21"/>
      <c r="AD19" s="21"/>
    </row>
    <row r="20">
      <c r="A20" s="67" t="s">
        <v>446</v>
      </c>
      <c r="B20" s="68">
        <v>3.0</v>
      </c>
      <c r="C20" s="67" t="s">
        <v>482</v>
      </c>
      <c r="D20" s="67" t="s">
        <v>483</v>
      </c>
      <c r="E20" s="68">
        <v>2.0</v>
      </c>
      <c r="F20" s="67" t="s">
        <v>484</v>
      </c>
      <c r="G20" s="67" t="s">
        <v>485</v>
      </c>
      <c r="H20" s="68">
        <v>10.0</v>
      </c>
      <c r="I20" s="67" t="s">
        <v>491</v>
      </c>
      <c r="J20" s="67" t="s">
        <v>492</v>
      </c>
      <c r="K20" s="68">
        <v>2.0</v>
      </c>
      <c r="L20" s="67" t="s">
        <v>495</v>
      </c>
      <c r="M20" s="67" t="s">
        <v>513</v>
      </c>
      <c r="N20" s="67" t="s">
        <v>514</v>
      </c>
      <c r="Q20" s="67" t="s">
        <v>515</v>
      </c>
      <c r="R20" s="21"/>
      <c r="S20" s="21"/>
      <c r="T20" s="21"/>
      <c r="U20" s="21"/>
      <c r="V20" s="21"/>
      <c r="W20" s="21"/>
      <c r="X20" s="21"/>
      <c r="Y20" s="21"/>
      <c r="Z20" s="21"/>
      <c r="AA20" s="21"/>
      <c r="AB20" s="21"/>
      <c r="AC20" s="21"/>
      <c r="AD20" s="21"/>
    </row>
    <row r="21">
      <c r="A21" s="67" t="s">
        <v>446</v>
      </c>
      <c r="B21" s="68">
        <v>3.0</v>
      </c>
      <c r="C21" s="67" t="s">
        <v>482</v>
      </c>
      <c r="D21" s="67" t="s">
        <v>483</v>
      </c>
      <c r="E21" s="68">
        <v>2.0</v>
      </c>
      <c r="F21" s="67" t="s">
        <v>484</v>
      </c>
      <c r="G21" s="67" t="s">
        <v>485</v>
      </c>
      <c r="H21" s="68">
        <v>10.0</v>
      </c>
      <c r="I21" s="67" t="s">
        <v>491</v>
      </c>
      <c r="J21" s="67" t="s">
        <v>492</v>
      </c>
      <c r="K21" s="68">
        <v>3.0</v>
      </c>
      <c r="L21" s="67" t="s">
        <v>516</v>
      </c>
      <c r="Q21" s="67" t="s">
        <v>517</v>
      </c>
      <c r="R21" s="21"/>
      <c r="S21" s="21"/>
      <c r="T21" s="21"/>
      <c r="U21" s="21"/>
      <c r="V21" s="21"/>
      <c r="W21" s="21"/>
      <c r="X21" s="21"/>
      <c r="Y21" s="21"/>
      <c r="Z21" s="21"/>
      <c r="AA21" s="21"/>
      <c r="AB21" s="21"/>
      <c r="AC21" s="21"/>
      <c r="AD21" s="21"/>
    </row>
    <row r="22">
      <c r="A22" s="67" t="s">
        <v>446</v>
      </c>
      <c r="B22" s="68">
        <v>3.0</v>
      </c>
      <c r="C22" s="67" t="s">
        <v>482</v>
      </c>
      <c r="D22" s="67" t="s">
        <v>483</v>
      </c>
      <c r="E22" s="68">
        <v>2.0</v>
      </c>
      <c r="F22" s="67" t="s">
        <v>484</v>
      </c>
      <c r="G22" s="67" t="s">
        <v>485</v>
      </c>
      <c r="H22" s="68">
        <v>10.0</v>
      </c>
      <c r="I22" s="67" t="s">
        <v>491</v>
      </c>
      <c r="J22" s="67" t="s">
        <v>492</v>
      </c>
      <c r="K22" s="68">
        <v>4.0</v>
      </c>
      <c r="L22" s="67" t="s">
        <v>518</v>
      </c>
      <c r="Q22" s="67" t="s">
        <v>519</v>
      </c>
      <c r="R22" s="21"/>
      <c r="S22" s="21"/>
      <c r="T22" s="21"/>
      <c r="U22" s="21"/>
      <c r="V22" s="21"/>
      <c r="W22" s="21"/>
      <c r="X22" s="21"/>
      <c r="Y22" s="21"/>
      <c r="Z22" s="21"/>
      <c r="AA22" s="21"/>
      <c r="AB22" s="21"/>
      <c r="AC22" s="21"/>
      <c r="AD22" s="21"/>
    </row>
    <row r="23">
      <c r="A23" s="67" t="s">
        <v>446</v>
      </c>
      <c r="B23" s="68">
        <v>3.0</v>
      </c>
      <c r="C23" s="67" t="s">
        <v>482</v>
      </c>
      <c r="D23" s="67" t="s">
        <v>483</v>
      </c>
      <c r="E23" s="68">
        <v>2.0</v>
      </c>
      <c r="F23" s="67" t="s">
        <v>484</v>
      </c>
      <c r="G23" s="67" t="s">
        <v>485</v>
      </c>
      <c r="H23" s="68">
        <v>10.0</v>
      </c>
      <c r="I23" s="67" t="s">
        <v>491</v>
      </c>
      <c r="J23" s="67" t="s">
        <v>492</v>
      </c>
      <c r="K23" s="68">
        <v>5.0</v>
      </c>
      <c r="L23" s="67" t="s">
        <v>520</v>
      </c>
      <c r="Q23" s="67" t="s">
        <v>521</v>
      </c>
      <c r="R23" s="21"/>
      <c r="S23" s="21"/>
      <c r="T23" s="21"/>
      <c r="U23" s="21"/>
      <c r="V23" s="21"/>
      <c r="W23" s="21"/>
      <c r="X23" s="21"/>
      <c r="Y23" s="21"/>
      <c r="Z23" s="21"/>
      <c r="AA23" s="21"/>
      <c r="AB23" s="21"/>
      <c r="AC23" s="21"/>
      <c r="AD23" s="21"/>
    </row>
    <row r="24">
      <c r="A24" s="67" t="s">
        <v>446</v>
      </c>
      <c r="B24" s="68">
        <v>3.0</v>
      </c>
      <c r="C24" s="67" t="s">
        <v>482</v>
      </c>
      <c r="D24" s="67" t="s">
        <v>483</v>
      </c>
      <c r="E24" s="68">
        <v>2.0</v>
      </c>
      <c r="F24" s="67" t="s">
        <v>484</v>
      </c>
      <c r="G24" s="67" t="s">
        <v>485</v>
      </c>
      <c r="H24" s="68">
        <v>10.0</v>
      </c>
      <c r="I24" s="67" t="s">
        <v>491</v>
      </c>
      <c r="J24" s="67" t="s">
        <v>492</v>
      </c>
      <c r="K24" s="68">
        <v>6.0</v>
      </c>
      <c r="L24" s="67" t="s">
        <v>522</v>
      </c>
      <c r="Q24" s="67" t="s">
        <v>523</v>
      </c>
      <c r="R24" s="21"/>
      <c r="S24" s="21"/>
      <c r="T24" s="21"/>
      <c r="U24" s="21"/>
      <c r="V24" s="21"/>
      <c r="W24" s="21"/>
      <c r="X24" s="21"/>
      <c r="Y24" s="21"/>
      <c r="Z24" s="21"/>
      <c r="AA24" s="21"/>
      <c r="AB24" s="21"/>
      <c r="AC24" s="21"/>
      <c r="AD24" s="21"/>
    </row>
    <row r="25">
      <c r="A25" s="67" t="s">
        <v>446</v>
      </c>
      <c r="B25" s="68">
        <v>3.0</v>
      </c>
      <c r="C25" s="67" t="s">
        <v>482</v>
      </c>
      <c r="D25" s="67" t="s">
        <v>483</v>
      </c>
      <c r="E25" s="68">
        <v>2.0</v>
      </c>
      <c r="F25" s="67" t="s">
        <v>484</v>
      </c>
      <c r="G25" s="67" t="s">
        <v>485</v>
      </c>
      <c r="H25" s="68">
        <v>12.0</v>
      </c>
      <c r="I25" s="67" t="s">
        <v>524</v>
      </c>
      <c r="J25" s="67" t="s">
        <v>525</v>
      </c>
      <c r="K25" s="68">
        <v>4.0</v>
      </c>
      <c r="L25" s="67" t="s">
        <v>526</v>
      </c>
      <c r="M25" s="67" t="s">
        <v>499</v>
      </c>
      <c r="N25" s="67" t="s">
        <v>527</v>
      </c>
      <c r="Q25" s="67" t="s">
        <v>528</v>
      </c>
      <c r="R25" s="21"/>
      <c r="S25" s="21"/>
      <c r="T25" s="21"/>
      <c r="U25" s="21"/>
      <c r="V25" s="21"/>
      <c r="W25" s="21"/>
      <c r="X25" s="21"/>
      <c r="Y25" s="21"/>
      <c r="Z25" s="21"/>
      <c r="AA25" s="21"/>
      <c r="AB25" s="21"/>
      <c r="AC25" s="21"/>
      <c r="AD25" s="21"/>
    </row>
    <row r="26">
      <c r="A26" s="67" t="s">
        <v>446</v>
      </c>
      <c r="B26" s="68">
        <v>3.0</v>
      </c>
      <c r="C26" s="67" t="s">
        <v>482</v>
      </c>
      <c r="D26" s="67" t="s">
        <v>483</v>
      </c>
      <c r="E26" s="68">
        <v>2.0</v>
      </c>
      <c r="F26" s="67" t="s">
        <v>484</v>
      </c>
      <c r="G26" s="67" t="s">
        <v>485</v>
      </c>
      <c r="H26" s="68">
        <v>12.0</v>
      </c>
      <c r="I26" s="67" t="s">
        <v>524</v>
      </c>
      <c r="J26" s="67" t="s">
        <v>525</v>
      </c>
      <c r="K26" s="68">
        <v>4.0</v>
      </c>
      <c r="L26" s="67" t="s">
        <v>526</v>
      </c>
      <c r="M26" s="67" t="s">
        <v>477</v>
      </c>
      <c r="N26" s="67" t="s">
        <v>529</v>
      </c>
      <c r="Q26" s="67" t="s">
        <v>530</v>
      </c>
      <c r="R26" s="21"/>
      <c r="S26" s="21"/>
      <c r="T26" s="21"/>
      <c r="U26" s="21"/>
      <c r="V26" s="21"/>
      <c r="W26" s="21"/>
      <c r="X26" s="21"/>
      <c r="Y26" s="21"/>
      <c r="Z26" s="21"/>
      <c r="AA26" s="21"/>
      <c r="AB26" s="21"/>
      <c r="AC26" s="21"/>
      <c r="AD26" s="21"/>
    </row>
    <row r="27">
      <c r="A27" s="67" t="s">
        <v>446</v>
      </c>
      <c r="B27" s="68">
        <v>3.0</v>
      </c>
      <c r="C27" s="67" t="s">
        <v>482</v>
      </c>
      <c r="D27" s="67" t="s">
        <v>483</v>
      </c>
      <c r="E27" s="68">
        <v>2.0</v>
      </c>
      <c r="F27" s="67" t="s">
        <v>484</v>
      </c>
      <c r="G27" s="67" t="s">
        <v>485</v>
      </c>
      <c r="H27" s="68">
        <v>15.0</v>
      </c>
      <c r="I27" s="67" t="s">
        <v>531</v>
      </c>
      <c r="J27" s="67" t="s">
        <v>532</v>
      </c>
      <c r="K27" s="68">
        <v>4.0</v>
      </c>
      <c r="L27" s="69" t="s">
        <v>533</v>
      </c>
      <c r="M27" s="21"/>
      <c r="N27" s="21"/>
      <c r="O27" s="21"/>
      <c r="P27" s="21"/>
      <c r="Q27" s="67" t="s">
        <v>534</v>
      </c>
      <c r="R27" s="21"/>
      <c r="S27" s="21"/>
      <c r="T27" s="21"/>
      <c r="U27" s="21"/>
      <c r="V27" s="21"/>
      <c r="W27" s="21"/>
      <c r="X27" s="21"/>
      <c r="Y27" s="21"/>
      <c r="Z27" s="21"/>
      <c r="AA27" s="21"/>
      <c r="AB27" s="21"/>
      <c r="AC27" s="21"/>
      <c r="AD27" s="21"/>
    </row>
    <row r="28">
      <c r="A28" s="67" t="s">
        <v>446</v>
      </c>
      <c r="B28" s="68">
        <v>3.0</v>
      </c>
      <c r="C28" s="67" t="s">
        <v>482</v>
      </c>
      <c r="D28" s="67" t="s">
        <v>483</v>
      </c>
      <c r="E28" s="68">
        <v>3.0</v>
      </c>
      <c r="F28" s="67" t="s">
        <v>535</v>
      </c>
      <c r="G28" s="67" t="s">
        <v>536</v>
      </c>
      <c r="H28" s="68">
        <v>17.0</v>
      </c>
      <c r="I28" s="67" t="s">
        <v>537</v>
      </c>
      <c r="J28" s="67" t="s">
        <v>538</v>
      </c>
      <c r="K28" s="68">
        <v>1.0</v>
      </c>
      <c r="L28" s="67" t="s">
        <v>539</v>
      </c>
      <c r="M28" s="67" t="s">
        <v>510</v>
      </c>
      <c r="N28" s="67" t="s">
        <v>540</v>
      </c>
      <c r="Q28" s="67" t="s">
        <v>541</v>
      </c>
      <c r="R28" s="21"/>
      <c r="S28" s="21"/>
      <c r="T28" s="21"/>
      <c r="U28" s="21"/>
      <c r="V28" s="21"/>
      <c r="W28" s="21"/>
      <c r="X28" s="21"/>
      <c r="Y28" s="21"/>
      <c r="Z28" s="21"/>
      <c r="AA28" s="21"/>
      <c r="AB28" s="21"/>
      <c r="AC28" s="21"/>
      <c r="AD28" s="21"/>
    </row>
    <row r="29">
      <c r="A29" s="67" t="s">
        <v>446</v>
      </c>
      <c r="B29" s="68">
        <v>3.0</v>
      </c>
      <c r="C29" s="67" t="s">
        <v>482</v>
      </c>
      <c r="D29" s="67" t="s">
        <v>483</v>
      </c>
      <c r="E29" s="68">
        <v>3.0</v>
      </c>
      <c r="F29" s="67" t="s">
        <v>535</v>
      </c>
      <c r="G29" s="67" t="s">
        <v>536</v>
      </c>
      <c r="H29" s="68">
        <v>17.0</v>
      </c>
      <c r="I29" s="67" t="s">
        <v>537</v>
      </c>
      <c r="J29" s="67" t="s">
        <v>538</v>
      </c>
      <c r="K29" s="68">
        <v>1.0</v>
      </c>
      <c r="L29" s="67" t="s">
        <v>539</v>
      </c>
      <c r="M29" s="67" t="s">
        <v>542</v>
      </c>
      <c r="N29" s="67" t="s">
        <v>543</v>
      </c>
      <c r="Q29" s="67" t="s">
        <v>544</v>
      </c>
      <c r="R29" s="21"/>
      <c r="S29" s="21"/>
      <c r="T29" s="21"/>
      <c r="U29" s="21"/>
      <c r="V29" s="21"/>
      <c r="W29" s="21"/>
      <c r="X29" s="21"/>
      <c r="Y29" s="21"/>
      <c r="Z29" s="21"/>
      <c r="AA29" s="21"/>
      <c r="AB29" s="21"/>
      <c r="AC29" s="21"/>
      <c r="AD29" s="21"/>
    </row>
    <row r="30">
      <c r="A30" s="67" t="s">
        <v>446</v>
      </c>
      <c r="B30" s="68">
        <v>3.0</v>
      </c>
      <c r="C30" s="67" t="s">
        <v>482</v>
      </c>
      <c r="D30" s="67" t="s">
        <v>483</v>
      </c>
      <c r="E30" s="68">
        <v>3.0</v>
      </c>
      <c r="F30" s="67" t="s">
        <v>535</v>
      </c>
      <c r="G30" s="67" t="s">
        <v>536</v>
      </c>
      <c r="H30" s="68">
        <v>29.0</v>
      </c>
      <c r="I30" s="67" t="s">
        <v>545</v>
      </c>
      <c r="J30" s="67" t="s">
        <v>546</v>
      </c>
      <c r="K30" s="68">
        <v>3.0</v>
      </c>
      <c r="L30" s="67" t="s">
        <v>547</v>
      </c>
      <c r="Q30" s="67" t="s">
        <v>548</v>
      </c>
      <c r="R30" s="21"/>
      <c r="S30" s="21"/>
      <c r="T30" s="21"/>
      <c r="U30" s="21"/>
      <c r="V30" s="21"/>
      <c r="W30" s="21"/>
      <c r="X30" s="21"/>
      <c r="Y30" s="21"/>
      <c r="Z30" s="21"/>
      <c r="AA30" s="21"/>
      <c r="AB30" s="21"/>
      <c r="AC30" s="21"/>
      <c r="AD30" s="21"/>
    </row>
    <row r="31">
      <c r="A31" s="67" t="s">
        <v>446</v>
      </c>
      <c r="B31" s="68">
        <v>3.0</v>
      </c>
      <c r="C31" s="67" t="s">
        <v>482</v>
      </c>
      <c r="D31" s="67" t="s">
        <v>483</v>
      </c>
      <c r="E31" s="68">
        <v>3.0</v>
      </c>
      <c r="F31" s="67" t="s">
        <v>535</v>
      </c>
      <c r="G31" s="67" t="s">
        <v>536</v>
      </c>
      <c r="H31" s="68">
        <v>29.0</v>
      </c>
      <c r="I31" s="67" t="s">
        <v>545</v>
      </c>
      <c r="J31" s="67" t="s">
        <v>546</v>
      </c>
      <c r="K31" s="68">
        <v>6.0</v>
      </c>
      <c r="L31" s="67" t="s">
        <v>549</v>
      </c>
      <c r="Q31" s="67" t="s">
        <v>550</v>
      </c>
      <c r="R31" s="21"/>
      <c r="S31" s="21"/>
      <c r="T31" s="21"/>
      <c r="U31" s="21"/>
      <c r="V31" s="21"/>
      <c r="W31" s="21"/>
      <c r="X31" s="21"/>
      <c r="Y31" s="21"/>
      <c r="Z31" s="21"/>
      <c r="AA31" s="21"/>
      <c r="AB31" s="21"/>
      <c r="AC31" s="21"/>
      <c r="AD31" s="21"/>
    </row>
    <row r="32">
      <c r="A32" s="67" t="s">
        <v>446</v>
      </c>
      <c r="B32" s="68">
        <v>3.0</v>
      </c>
      <c r="C32" s="67" t="s">
        <v>482</v>
      </c>
      <c r="D32" s="67" t="s">
        <v>483</v>
      </c>
      <c r="E32" s="68">
        <v>5.0</v>
      </c>
      <c r="F32" s="67" t="s">
        <v>551</v>
      </c>
      <c r="G32" s="67" t="s">
        <v>552</v>
      </c>
      <c r="H32" s="68">
        <v>42.0</v>
      </c>
      <c r="I32" s="67" t="s">
        <v>553</v>
      </c>
      <c r="J32" s="67" t="s">
        <v>554</v>
      </c>
      <c r="K32" s="68">
        <v>1.0</v>
      </c>
      <c r="L32" s="67" t="s">
        <v>555</v>
      </c>
      <c r="Q32" s="67" t="s">
        <v>556</v>
      </c>
      <c r="R32" s="21"/>
      <c r="S32" s="21"/>
      <c r="T32" s="21"/>
      <c r="U32" s="21"/>
      <c r="V32" s="21"/>
      <c r="W32" s="21"/>
      <c r="X32" s="21"/>
      <c r="Y32" s="21"/>
      <c r="Z32" s="21"/>
      <c r="AA32" s="21"/>
      <c r="AB32" s="21"/>
      <c r="AC32" s="21"/>
      <c r="AD32" s="21"/>
    </row>
    <row r="33">
      <c r="A33" s="67" t="s">
        <v>446</v>
      </c>
      <c r="B33" s="68">
        <v>3.0</v>
      </c>
      <c r="C33" s="67" t="s">
        <v>482</v>
      </c>
      <c r="D33" s="67" t="s">
        <v>483</v>
      </c>
      <c r="E33" s="68">
        <v>5.0</v>
      </c>
      <c r="F33" s="67" t="s">
        <v>551</v>
      </c>
      <c r="G33" s="67" t="s">
        <v>552</v>
      </c>
      <c r="H33" s="68">
        <v>51.0</v>
      </c>
      <c r="I33" s="67" t="s">
        <v>557</v>
      </c>
      <c r="J33" s="67" t="s">
        <v>558</v>
      </c>
      <c r="K33" s="68">
        <v>1.0</v>
      </c>
      <c r="L33" s="67" t="s">
        <v>559</v>
      </c>
      <c r="Q33" s="67" t="s">
        <v>560</v>
      </c>
      <c r="R33" s="21"/>
      <c r="S33" s="21"/>
      <c r="T33" s="21"/>
      <c r="U33" s="21"/>
      <c r="V33" s="21"/>
      <c r="W33" s="21"/>
      <c r="X33" s="21"/>
      <c r="Y33" s="21"/>
      <c r="Z33" s="21"/>
      <c r="AA33" s="21"/>
      <c r="AB33" s="21"/>
      <c r="AC33" s="21"/>
      <c r="AD33" s="21"/>
    </row>
    <row r="34">
      <c r="A34" s="67" t="s">
        <v>446</v>
      </c>
      <c r="B34" s="68">
        <v>5.0</v>
      </c>
      <c r="C34" s="67" t="s">
        <v>561</v>
      </c>
      <c r="D34" s="67" t="s">
        <v>562</v>
      </c>
      <c r="E34" s="68">
        <v>1.0</v>
      </c>
      <c r="F34" s="67" t="s">
        <v>449</v>
      </c>
      <c r="G34" s="67" t="s">
        <v>450</v>
      </c>
      <c r="H34" s="68">
        <v>53.0</v>
      </c>
      <c r="I34" s="67" t="s">
        <v>563</v>
      </c>
      <c r="J34" s="67" t="s">
        <v>564</v>
      </c>
      <c r="K34" s="68">
        <v>1.0</v>
      </c>
      <c r="L34" s="67" t="s">
        <v>565</v>
      </c>
      <c r="Q34" s="67" t="s">
        <v>566</v>
      </c>
      <c r="R34" s="21"/>
      <c r="S34" s="21"/>
      <c r="T34" s="21"/>
      <c r="U34" s="21"/>
      <c r="V34" s="21"/>
      <c r="W34" s="21"/>
      <c r="X34" s="21"/>
      <c r="Y34" s="21"/>
      <c r="Z34" s="21"/>
      <c r="AA34" s="21"/>
      <c r="AB34" s="21"/>
      <c r="AC34" s="21"/>
      <c r="AD34" s="21"/>
    </row>
    <row r="35">
      <c r="A35" s="67" t="s">
        <v>446</v>
      </c>
      <c r="B35" s="68">
        <v>5.0</v>
      </c>
      <c r="C35" s="67" t="s">
        <v>561</v>
      </c>
      <c r="D35" s="67" t="s">
        <v>562</v>
      </c>
      <c r="E35" s="68">
        <v>1.0</v>
      </c>
      <c r="F35" s="67" t="s">
        <v>449</v>
      </c>
      <c r="G35" s="67" t="s">
        <v>450</v>
      </c>
      <c r="H35" s="68">
        <v>53.0</v>
      </c>
      <c r="I35" s="67" t="s">
        <v>563</v>
      </c>
      <c r="J35" s="67" t="s">
        <v>564</v>
      </c>
      <c r="K35" s="68">
        <v>2.0</v>
      </c>
      <c r="L35" s="67" t="s">
        <v>567</v>
      </c>
      <c r="Q35" s="67" t="s">
        <v>568</v>
      </c>
      <c r="R35" s="21"/>
      <c r="S35" s="21"/>
      <c r="T35" s="21"/>
      <c r="U35" s="21"/>
      <c r="V35" s="21"/>
      <c r="W35" s="21"/>
      <c r="X35" s="21"/>
      <c r="Y35" s="21"/>
      <c r="Z35" s="21"/>
      <c r="AA35" s="21"/>
      <c r="AB35" s="21"/>
      <c r="AC35" s="21"/>
      <c r="AD35" s="21"/>
    </row>
    <row r="36">
      <c r="A36" s="67" t="s">
        <v>446</v>
      </c>
      <c r="B36" s="68">
        <v>5.0</v>
      </c>
      <c r="C36" s="67" t="s">
        <v>561</v>
      </c>
      <c r="D36" s="67" t="s">
        <v>562</v>
      </c>
      <c r="E36" s="68">
        <v>1.0</v>
      </c>
      <c r="F36" s="67" t="s">
        <v>449</v>
      </c>
      <c r="G36" s="67" t="s">
        <v>450</v>
      </c>
      <c r="H36" s="68">
        <v>54.0</v>
      </c>
      <c r="I36" s="67" t="s">
        <v>569</v>
      </c>
      <c r="J36" s="67" t="s">
        <v>570</v>
      </c>
      <c r="K36" s="68">
        <v>1.0</v>
      </c>
      <c r="L36" s="67" t="s">
        <v>571</v>
      </c>
      <c r="M36" s="67" t="s">
        <v>496</v>
      </c>
      <c r="N36" s="67" t="s">
        <v>572</v>
      </c>
      <c r="O36" s="67" t="s">
        <v>479</v>
      </c>
      <c r="P36" s="67" t="s">
        <v>573</v>
      </c>
      <c r="Q36" s="67" t="s">
        <v>574</v>
      </c>
      <c r="R36" s="21"/>
      <c r="S36" s="21"/>
      <c r="T36" s="21"/>
      <c r="U36" s="21"/>
      <c r="V36" s="21"/>
      <c r="W36" s="21"/>
      <c r="X36" s="21"/>
      <c r="Y36" s="21"/>
      <c r="Z36" s="21"/>
      <c r="AA36" s="21"/>
      <c r="AB36" s="21"/>
      <c r="AC36" s="21"/>
      <c r="AD36" s="21"/>
    </row>
    <row r="37">
      <c r="A37" s="67" t="s">
        <v>446</v>
      </c>
      <c r="B37" s="68">
        <v>5.0</v>
      </c>
      <c r="C37" s="67" t="s">
        <v>561</v>
      </c>
      <c r="D37" s="67" t="s">
        <v>562</v>
      </c>
      <c r="E37" s="68">
        <v>1.0</v>
      </c>
      <c r="F37" s="67" t="s">
        <v>449</v>
      </c>
      <c r="G37" s="67" t="s">
        <v>450</v>
      </c>
      <c r="H37" s="68">
        <v>54.0</v>
      </c>
      <c r="I37" s="67" t="s">
        <v>569</v>
      </c>
      <c r="J37" s="67" t="s">
        <v>570</v>
      </c>
      <c r="K37" s="68">
        <v>1.0</v>
      </c>
      <c r="L37" s="67" t="s">
        <v>571</v>
      </c>
      <c r="M37" s="67" t="s">
        <v>496</v>
      </c>
      <c r="N37" s="67" t="s">
        <v>572</v>
      </c>
      <c r="O37" s="67" t="s">
        <v>575</v>
      </c>
      <c r="P37" s="67" t="s">
        <v>576</v>
      </c>
      <c r="Q37" s="67" t="s">
        <v>577</v>
      </c>
      <c r="R37" s="21"/>
      <c r="S37" s="21"/>
      <c r="T37" s="21"/>
      <c r="U37" s="21"/>
      <c r="V37" s="21"/>
      <c r="W37" s="21"/>
      <c r="X37" s="21"/>
      <c r="Y37" s="21"/>
      <c r="Z37" s="21"/>
      <c r="AA37" s="21"/>
      <c r="AB37" s="21"/>
      <c r="AC37" s="21"/>
      <c r="AD37" s="21"/>
    </row>
    <row r="38">
      <c r="A38" s="67" t="s">
        <v>446</v>
      </c>
      <c r="B38" s="68">
        <v>5.0</v>
      </c>
      <c r="C38" s="67" t="s">
        <v>561</v>
      </c>
      <c r="D38" s="67" t="s">
        <v>562</v>
      </c>
      <c r="E38" s="68">
        <v>1.0</v>
      </c>
      <c r="F38" s="67" t="s">
        <v>449</v>
      </c>
      <c r="G38" s="67" t="s">
        <v>450</v>
      </c>
      <c r="H38" s="68">
        <v>54.0</v>
      </c>
      <c r="I38" s="67" t="s">
        <v>569</v>
      </c>
      <c r="J38" s="67" t="s">
        <v>570</v>
      </c>
      <c r="K38" s="68">
        <v>1.0</v>
      </c>
      <c r="L38" s="67" t="s">
        <v>571</v>
      </c>
      <c r="M38" s="67" t="s">
        <v>496</v>
      </c>
      <c r="N38" s="67" t="s">
        <v>572</v>
      </c>
      <c r="O38" s="67" t="s">
        <v>578</v>
      </c>
      <c r="P38" s="67" t="s">
        <v>579</v>
      </c>
      <c r="Q38" s="67" t="s">
        <v>580</v>
      </c>
      <c r="R38" s="21"/>
      <c r="S38" s="21"/>
      <c r="T38" s="21"/>
      <c r="U38" s="21"/>
      <c r="V38" s="21"/>
      <c r="W38" s="21"/>
      <c r="X38" s="21"/>
      <c r="Y38" s="21"/>
      <c r="Z38" s="21"/>
      <c r="AA38" s="21"/>
      <c r="AB38" s="21"/>
      <c r="AC38" s="21"/>
      <c r="AD38" s="21"/>
    </row>
    <row r="39">
      <c r="A39" s="67" t="s">
        <v>446</v>
      </c>
      <c r="B39" s="68">
        <v>5.0</v>
      </c>
      <c r="C39" s="67" t="s">
        <v>561</v>
      </c>
      <c r="D39" s="67" t="s">
        <v>562</v>
      </c>
      <c r="E39" s="68">
        <v>1.0</v>
      </c>
      <c r="F39" s="67" t="s">
        <v>449</v>
      </c>
      <c r="G39" s="67" t="s">
        <v>450</v>
      </c>
      <c r="H39" s="68">
        <v>54.0</v>
      </c>
      <c r="I39" s="67" t="s">
        <v>569</v>
      </c>
      <c r="J39" s="67" t="s">
        <v>570</v>
      </c>
      <c r="K39" s="68">
        <v>1.0</v>
      </c>
      <c r="L39" s="67" t="s">
        <v>571</v>
      </c>
      <c r="M39" s="67" t="s">
        <v>499</v>
      </c>
      <c r="N39" s="67" t="s">
        <v>581</v>
      </c>
      <c r="Q39" s="67" t="s">
        <v>582</v>
      </c>
      <c r="R39" s="21"/>
      <c r="S39" s="21"/>
      <c r="T39" s="21"/>
      <c r="U39" s="21"/>
      <c r="V39" s="21"/>
      <c r="W39" s="21"/>
      <c r="X39" s="21"/>
      <c r="Y39" s="21"/>
      <c r="Z39" s="21"/>
      <c r="AA39" s="21"/>
      <c r="AB39" s="21"/>
      <c r="AC39" s="21"/>
      <c r="AD39" s="21"/>
    </row>
    <row r="40">
      <c r="A40" s="67" t="s">
        <v>446</v>
      </c>
      <c r="B40" s="68">
        <v>5.0</v>
      </c>
      <c r="C40" s="67" t="s">
        <v>561</v>
      </c>
      <c r="D40" s="67" t="s">
        <v>562</v>
      </c>
      <c r="E40" s="68">
        <v>1.0</v>
      </c>
      <c r="F40" s="67" t="s">
        <v>449</v>
      </c>
      <c r="G40" s="67" t="s">
        <v>450</v>
      </c>
      <c r="H40" s="68">
        <v>54.0</v>
      </c>
      <c r="I40" s="67" t="s">
        <v>569</v>
      </c>
      <c r="J40" s="67" t="s">
        <v>570</v>
      </c>
      <c r="K40" s="68">
        <v>1.0</v>
      </c>
      <c r="L40" s="67" t="s">
        <v>571</v>
      </c>
      <c r="M40" s="67" t="s">
        <v>477</v>
      </c>
      <c r="N40" s="67" t="s">
        <v>583</v>
      </c>
      <c r="Q40" s="67" t="s">
        <v>584</v>
      </c>
      <c r="R40" s="21"/>
      <c r="S40" s="21"/>
      <c r="T40" s="21"/>
      <c r="U40" s="21"/>
      <c r="V40" s="21"/>
      <c r="W40" s="21"/>
      <c r="X40" s="21"/>
      <c r="Y40" s="21"/>
      <c r="Z40" s="21"/>
      <c r="AA40" s="21"/>
      <c r="AB40" s="21"/>
      <c r="AC40" s="21"/>
      <c r="AD40" s="21"/>
    </row>
    <row r="41">
      <c r="A41" s="67" t="s">
        <v>446</v>
      </c>
      <c r="B41" s="68">
        <v>5.0</v>
      </c>
      <c r="C41" s="67" t="s">
        <v>561</v>
      </c>
      <c r="D41" s="67" t="s">
        <v>562</v>
      </c>
      <c r="E41" s="68">
        <v>1.0</v>
      </c>
      <c r="F41" s="67" t="s">
        <v>449</v>
      </c>
      <c r="G41" s="67" t="s">
        <v>450</v>
      </c>
      <c r="H41" s="68">
        <v>54.0</v>
      </c>
      <c r="I41" s="67" t="s">
        <v>569</v>
      </c>
      <c r="J41" s="67" t="s">
        <v>570</v>
      </c>
      <c r="K41" s="68">
        <v>1.0</v>
      </c>
      <c r="L41" s="67" t="s">
        <v>571</v>
      </c>
      <c r="M41" s="67" t="s">
        <v>504</v>
      </c>
      <c r="N41" s="67" t="s">
        <v>585</v>
      </c>
      <c r="Q41" s="67" t="s">
        <v>586</v>
      </c>
      <c r="R41" s="21"/>
      <c r="S41" s="21"/>
      <c r="T41" s="21"/>
      <c r="U41" s="21"/>
      <c r="V41" s="21"/>
      <c r="W41" s="21"/>
      <c r="X41" s="21"/>
      <c r="Y41" s="21"/>
      <c r="Z41" s="21"/>
      <c r="AA41" s="21"/>
      <c r="AB41" s="21"/>
      <c r="AC41" s="21"/>
      <c r="AD41" s="21"/>
    </row>
    <row r="42">
      <c r="A42" s="67" t="s">
        <v>446</v>
      </c>
      <c r="B42" s="68">
        <v>5.0</v>
      </c>
      <c r="C42" s="67" t="s">
        <v>561</v>
      </c>
      <c r="D42" s="67" t="s">
        <v>562</v>
      </c>
      <c r="E42" s="68">
        <v>1.0</v>
      </c>
      <c r="F42" s="67" t="s">
        <v>449</v>
      </c>
      <c r="G42" s="67" t="s">
        <v>450</v>
      </c>
      <c r="H42" s="68">
        <v>54.0</v>
      </c>
      <c r="I42" s="67" t="s">
        <v>569</v>
      </c>
      <c r="J42" s="67" t="s">
        <v>570</v>
      </c>
      <c r="K42" s="68">
        <v>1.0</v>
      </c>
      <c r="L42" s="67" t="s">
        <v>571</v>
      </c>
      <c r="M42" s="67" t="s">
        <v>507</v>
      </c>
      <c r="N42" s="67" t="s">
        <v>587</v>
      </c>
      <c r="Q42" s="67" t="s">
        <v>588</v>
      </c>
      <c r="R42" s="21"/>
      <c r="S42" s="21"/>
      <c r="T42" s="21"/>
      <c r="U42" s="21"/>
      <c r="V42" s="21"/>
      <c r="W42" s="21"/>
      <c r="X42" s="21"/>
      <c r="Y42" s="21"/>
      <c r="Z42" s="21"/>
      <c r="AA42" s="21"/>
      <c r="AB42" s="21"/>
      <c r="AC42" s="21"/>
      <c r="AD42" s="21"/>
    </row>
    <row r="43">
      <c r="A43" s="67" t="s">
        <v>446</v>
      </c>
      <c r="B43" s="68">
        <v>5.0</v>
      </c>
      <c r="C43" s="67" t="s">
        <v>561</v>
      </c>
      <c r="D43" s="67" t="s">
        <v>562</v>
      </c>
      <c r="E43" s="68">
        <v>1.0</v>
      </c>
      <c r="F43" s="67" t="s">
        <v>449</v>
      </c>
      <c r="G43" s="67" t="s">
        <v>450</v>
      </c>
      <c r="H43" s="68">
        <v>54.0</v>
      </c>
      <c r="I43" s="67" t="s">
        <v>569</v>
      </c>
      <c r="J43" s="67" t="s">
        <v>570</v>
      </c>
      <c r="K43" s="68">
        <v>1.0</v>
      </c>
      <c r="L43" s="67" t="s">
        <v>571</v>
      </c>
      <c r="M43" s="67" t="s">
        <v>510</v>
      </c>
      <c r="N43" s="67" t="s">
        <v>589</v>
      </c>
      <c r="Q43" s="67" t="s">
        <v>590</v>
      </c>
      <c r="R43" s="21"/>
      <c r="S43" s="21"/>
      <c r="T43" s="21"/>
      <c r="U43" s="21"/>
      <c r="V43" s="21"/>
      <c r="W43" s="21"/>
      <c r="X43" s="21"/>
      <c r="Y43" s="21"/>
      <c r="Z43" s="21"/>
      <c r="AA43" s="21"/>
      <c r="AB43" s="21"/>
      <c r="AC43" s="21"/>
      <c r="AD43" s="21"/>
    </row>
    <row r="44">
      <c r="A44" s="67" t="s">
        <v>446</v>
      </c>
      <c r="B44" s="68">
        <v>5.0</v>
      </c>
      <c r="C44" s="67" t="s">
        <v>561</v>
      </c>
      <c r="D44" s="67" t="s">
        <v>562</v>
      </c>
      <c r="E44" s="68">
        <v>1.0</v>
      </c>
      <c r="F44" s="67" t="s">
        <v>449</v>
      </c>
      <c r="G44" s="67" t="s">
        <v>450</v>
      </c>
      <c r="H44" s="68">
        <v>54.0</v>
      </c>
      <c r="I44" s="67" t="s">
        <v>569</v>
      </c>
      <c r="J44" s="67" t="s">
        <v>570</v>
      </c>
      <c r="K44" s="68">
        <v>1.0</v>
      </c>
      <c r="L44" s="67" t="s">
        <v>571</v>
      </c>
      <c r="M44" s="67" t="s">
        <v>513</v>
      </c>
      <c r="N44" s="67" t="s">
        <v>591</v>
      </c>
      <c r="Q44" s="67" t="s">
        <v>592</v>
      </c>
      <c r="R44" s="21"/>
      <c r="S44" s="21"/>
      <c r="T44" s="21"/>
      <c r="U44" s="21"/>
      <c r="V44" s="21"/>
      <c r="W44" s="21"/>
      <c r="X44" s="21"/>
      <c r="Y44" s="21"/>
      <c r="Z44" s="21"/>
      <c r="AA44" s="21"/>
      <c r="AB44" s="21"/>
      <c r="AC44" s="21"/>
      <c r="AD44" s="21"/>
    </row>
    <row r="45">
      <c r="A45" s="67" t="s">
        <v>446</v>
      </c>
      <c r="B45" s="68">
        <v>5.0</v>
      </c>
      <c r="C45" s="67" t="s">
        <v>561</v>
      </c>
      <c r="D45" s="67" t="s">
        <v>562</v>
      </c>
      <c r="E45" s="68">
        <v>1.0</v>
      </c>
      <c r="F45" s="67" t="s">
        <v>449</v>
      </c>
      <c r="G45" s="67" t="s">
        <v>450</v>
      </c>
      <c r="H45" s="68">
        <v>54.0</v>
      </c>
      <c r="I45" s="67" t="s">
        <v>569</v>
      </c>
      <c r="J45" s="67" t="s">
        <v>570</v>
      </c>
      <c r="K45" s="68">
        <v>1.0</v>
      </c>
      <c r="L45" s="67" t="s">
        <v>571</v>
      </c>
      <c r="M45" s="67" t="s">
        <v>593</v>
      </c>
      <c r="N45" s="67" t="s">
        <v>594</v>
      </c>
      <c r="Q45" s="67" t="s">
        <v>595</v>
      </c>
      <c r="R45" s="21"/>
      <c r="S45" s="21"/>
      <c r="T45" s="21"/>
      <c r="U45" s="21"/>
      <c r="V45" s="21"/>
      <c r="W45" s="21"/>
      <c r="X45" s="21"/>
      <c r="Y45" s="21"/>
      <c r="Z45" s="21"/>
      <c r="AA45" s="21"/>
      <c r="AB45" s="21"/>
      <c r="AC45" s="21"/>
      <c r="AD45" s="21"/>
    </row>
    <row r="46">
      <c r="A46" s="67" t="s">
        <v>446</v>
      </c>
      <c r="B46" s="68">
        <v>5.0</v>
      </c>
      <c r="C46" s="67" t="s">
        <v>561</v>
      </c>
      <c r="D46" s="67" t="s">
        <v>562</v>
      </c>
      <c r="E46" s="68">
        <v>1.0</v>
      </c>
      <c r="F46" s="67" t="s">
        <v>449</v>
      </c>
      <c r="G46" s="67" t="s">
        <v>450</v>
      </c>
      <c r="H46" s="68">
        <v>54.0</v>
      </c>
      <c r="I46" s="67" t="s">
        <v>569</v>
      </c>
      <c r="J46" s="67" t="s">
        <v>570</v>
      </c>
      <c r="K46" s="68">
        <v>1.0</v>
      </c>
      <c r="L46" s="67" t="s">
        <v>571</v>
      </c>
      <c r="M46" s="67" t="s">
        <v>479</v>
      </c>
      <c r="N46" s="67" t="s">
        <v>596</v>
      </c>
      <c r="Q46" s="67" t="s">
        <v>597</v>
      </c>
      <c r="R46" s="21"/>
      <c r="S46" s="21"/>
      <c r="T46" s="21"/>
      <c r="U46" s="21"/>
      <c r="V46" s="21"/>
      <c r="W46" s="21"/>
      <c r="X46" s="21"/>
      <c r="Y46" s="21"/>
      <c r="Z46" s="21"/>
      <c r="AA46" s="21"/>
      <c r="AB46" s="21"/>
      <c r="AC46" s="21"/>
      <c r="AD46" s="21"/>
    </row>
    <row r="47">
      <c r="A47" s="67" t="s">
        <v>446</v>
      </c>
      <c r="B47" s="68">
        <v>5.0</v>
      </c>
      <c r="C47" s="67" t="s">
        <v>561</v>
      </c>
      <c r="D47" s="67" t="s">
        <v>562</v>
      </c>
      <c r="E47" s="68">
        <v>1.0</v>
      </c>
      <c r="F47" s="67" t="s">
        <v>449</v>
      </c>
      <c r="G47" s="67" t="s">
        <v>450</v>
      </c>
      <c r="H47" s="68">
        <v>54.0</v>
      </c>
      <c r="I47" s="67" t="s">
        <v>569</v>
      </c>
      <c r="J47" s="67" t="s">
        <v>570</v>
      </c>
      <c r="K47" s="68">
        <v>1.0</v>
      </c>
      <c r="L47" s="67" t="s">
        <v>571</v>
      </c>
      <c r="M47" s="67" t="s">
        <v>542</v>
      </c>
      <c r="N47" s="67" t="s">
        <v>598</v>
      </c>
      <c r="Q47" s="67" t="s">
        <v>599</v>
      </c>
      <c r="R47" s="21"/>
      <c r="S47" s="21"/>
      <c r="T47" s="21"/>
      <c r="U47" s="21"/>
      <c r="V47" s="21"/>
      <c r="W47" s="21"/>
      <c r="X47" s="21"/>
      <c r="Y47" s="21"/>
      <c r="Z47" s="21"/>
      <c r="AA47" s="21"/>
      <c r="AB47" s="21"/>
      <c r="AC47" s="21"/>
      <c r="AD47" s="21"/>
    </row>
    <row r="48">
      <c r="A48" s="67" t="s">
        <v>446</v>
      </c>
      <c r="B48" s="68">
        <v>5.0</v>
      </c>
      <c r="C48" s="67" t="s">
        <v>561</v>
      </c>
      <c r="D48" s="67" t="s">
        <v>562</v>
      </c>
      <c r="E48" s="68">
        <v>1.0</v>
      </c>
      <c r="F48" s="67" t="s">
        <v>449</v>
      </c>
      <c r="G48" s="67" t="s">
        <v>450</v>
      </c>
      <c r="H48" s="68">
        <v>54.0</v>
      </c>
      <c r="I48" s="67" t="s">
        <v>569</v>
      </c>
      <c r="J48" s="67" t="s">
        <v>570</v>
      </c>
      <c r="K48" s="68">
        <v>2.0</v>
      </c>
      <c r="L48" s="67" t="s">
        <v>600</v>
      </c>
      <c r="Q48" s="67" t="s">
        <v>601</v>
      </c>
      <c r="R48" s="21"/>
      <c r="S48" s="21"/>
      <c r="T48" s="21"/>
      <c r="U48" s="21"/>
      <c r="V48" s="21"/>
      <c r="W48" s="21"/>
      <c r="X48" s="21"/>
      <c r="Y48" s="21"/>
      <c r="Z48" s="21"/>
      <c r="AA48" s="21"/>
      <c r="AB48" s="21"/>
      <c r="AC48" s="21"/>
      <c r="AD48" s="21"/>
    </row>
    <row r="49">
      <c r="A49" s="67" t="s">
        <v>446</v>
      </c>
      <c r="B49" s="68">
        <v>6.0</v>
      </c>
      <c r="C49" s="67" t="s">
        <v>602</v>
      </c>
      <c r="D49" s="67" t="s">
        <v>603</v>
      </c>
      <c r="E49" s="68">
        <v>1.0</v>
      </c>
      <c r="F49" s="67" t="s">
        <v>449</v>
      </c>
      <c r="G49" s="67" t="s">
        <v>604</v>
      </c>
      <c r="H49" s="68">
        <v>57.0</v>
      </c>
      <c r="I49" s="67" t="s">
        <v>605</v>
      </c>
      <c r="J49" s="67" t="s">
        <v>606</v>
      </c>
      <c r="K49" s="68">
        <v>1.0</v>
      </c>
      <c r="L49" s="67" t="s">
        <v>607</v>
      </c>
      <c r="Q49" s="67" t="s">
        <v>608</v>
      </c>
      <c r="R49" s="21"/>
      <c r="S49" s="21"/>
      <c r="T49" s="21"/>
      <c r="U49" s="21"/>
      <c r="V49" s="21"/>
      <c r="W49" s="21"/>
      <c r="X49" s="21"/>
      <c r="Y49" s="21"/>
      <c r="Z49" s="21"/>
      <c r="AA49" s="21"/>
      <c r="AB49" s="21"/>
      <c r="AC49" s="21"/>
      <c r="AD49" s="21"/>
    </row>
    <row r="50">
      <c r="A50" s="67" t="s">
        <v>446</v>
      </c>
      <c r="B50" s="68">
        <v>6.0</v>
      </c>
      <c r="C50" s="67" t="s">
        <v>602</v>
      </c>
      <c r="D50" s="67" t="s">
        <v>603</v>
      </c>
      <c r="E50" s="68">
        <v>1.0</v>
      </c>
      <c r="F50" s="67" t="s">
        <v>449</v>
      </c>
      <c r="G50" s="67" t="s">
        <v>604</v>
      </c>
      <c r="H50" s="68">
        <v>59.0</v>
      </c>
      <c r="I50" s="67" t="s">
        <v>609</v>
      </c>
      <c r="J50" s="67" t="s">
        <v>610</v>
      </c>
      <c r="K50" s="68">
        <v>4.0</v>
      </c>
      <c r="L50" s="67" t="s">
        <v>611</v>
      </c>
      <c r="Q50" s="67" t="s">
        <v>612</v>
      </c>
      <c r="R50" s="21"/>
      <c r="S50" s="21"/>
      <c r="T50" s="21"/>
      <c r="U50" s="21"/>
      <c r="V50" s="21"/>
      <c r="W50" s="21"/>
      <c r="X50" s="21"/>
      <c r="Y50" s="21"/>
      <c r="Z50" s="21"/>
      <c r="AA50" s="21"/>
      <c r="AB50" s="21"/>
      <c r="AC50" s="21"/>
      <c r="AD50" s="21"/>
    </row>
    <row r="51">
      <c r="A51" s="67" t="s">
        <v>446</v>
      </c>
      <c r="B51" s="68">
        <v>6.0</v>
      </c>
      <c r="C51" s="67" t="s">
        <v>602</v>
      </c>
      <c r="D51" s="67" t="s">
        <v>603</v>
      </c>
      <c r="E51" s="68">
        <v>1.0</v>
      </c>
      <c r="F51" s="67" t="s">
        <v>449</v>
      </c>
      <c r="G51" s="67" t="s">
        <v>604</v>
      </c>
      <c r="H51" s="68">
        <v>59.0</v>
      </c>
      <c r="I51" s="67" t="s">
        <v>609</v>
      </c>
      <c r="J51" s="67" t="s">
        <v>610</v>
      </c>
      <c r="K51" s="68">
        <v>8.0</v>
      </c>
      <c r="L51" s="67" t="s">
        <v>613</v>
      </c>
      <c r="Q51" s="67" t="s">
        <v>614</v>
      </c>
      <c r="R51" s="21"/>
      <c r="S51" s="21"/>
      <c r="T51" s="21"/>
      <c r="U51" s="21"/>
      <c r="V51" s="21"/>
      <c r="W51" s="21"/>
      <c r="X51" s="21"/>
      <c r="Y51" s="21"/>
      <c r="Z51" s="21"/>
      <c r="AA51" s="21"/>
      <c r="AB51" s="21"/>
      <c r="AC51" s="21"/>
      <c r="AD51" s="21"/>
    </row>
    <row r="52">
      <c r="A52" s="67" t="s">
        <v>446</v>
      </c>
      <c r="B52" s="68">
        <v>7.0</v>
      </c>
      <c r="C52" s="67" t="s">
        <v>615</v>
      </c>
      <c r="D52" s="67" t="s">
        <v>616</v>
      </c>
      <c r="E52" s="68">
        <v>1.0</v>
      </c>
      <c r="F52" s="67" t="s">
        <v>449</v>
      </c>
      <c r="G52" s="67" t="s">
        <v>604</v>
      </c>
      <c r="H52" s="68">
        <v>60.0</v>
      </c>
      <c r="I52" s="67" t="s">
        <v>617</v>
      </c>
      <c r="J52" s="67" t="s">
        <v>618</v>
      </c>
      <c r="K52" s="68">
        <v>1.0</v>
      </c>
      <c r="L52" s="67" t="s">
        <v>619</v>
      </c>
      <c r="Q52" s="67" t="s">
        <v>620</v>
      </c>
      <c r="R52" s="21"/>
      <c r="S52" s="21"/>
      <c r="T52" s="21"/>
      <c r="U52" s="21"/>
      <c r="V52" s="21"/>
      <c r="W52" s="21"/>
      <c r="X52" s="21"/>
      <c r="Y52" s="21"/>
      <c r="Z52" s="21"/>
      <c r="AA52" s="21"/>
      <c r="AB52" s="21"/>
      <c r="AC52" s="21"/>
      <c r="AD52" s="21"/>
    </row>
    <row r="53">
      <c r="A53" s="67" t="s">
        <v>446</v>
      </c>
      <c r="B53" s="68">
        <v>7.0</v>
      </c>
      <c r="C53" s="67" t="s">
        <v>615</v>
      </c>
      <c r="D53" s="67" t="s">
        <v>616</v>
      </c>
      <c r="E53" s="68">
        <v>1.0</v>
      </c>
      <c r="F53" s="67" t="s">
        <v>449</v>
      </c>
      <c r="G53" s="67" t="s">
        <v>604</v>
      </c>
      <c r="H53" s="68">
        <v>60.0</v>
      </c>
      <c r="I53" s="67" t="s">
        <v>617</v>
      </c>
      <c r="J53" s="67" t="s">
        <v>618</v>
      </c>
      <c r="K53" s="68">
        <v>2.0</v>
      </c>
      <c r="L53" s="67" t="s">
        <v>621</v>
      </c>
      <c r="Q53" s="67" t="s">
        <v>622</v>
      </c>
      <c r="R53" s="21"/>
      <c r="S53" s="21"/>
      <c r="T53" s="21"/>
      <c r="U53" s="21"/>
      <c r="V53" s="21"/>
      <c r="W53" s="21"/>
      <c r="X53" s="21"/>
      <c r="Y53" s="21"/>
      <c r="Z53" s="21"/>
      <c r="AA53" s="21"/>
      <c r="AB53" s="21"/>
      <c r="AC53" s="21"/>
      <c r="AD53" s="21"/>
    </row>
    <row r="54">
      <c r="A54" s="67" t="s">
        <v>446</v>
      </c>
      <c r="B54" s="68">
        <v>7.0</v>
      </c>
      <c r="C54" s="67" t="s">
        <v>615</v>
      </c>
      <c r="D54" s="67" t="s">
        <v>616</v>
      </c>
      <c r="E54" s="68">
        <v>1.0</v>
      </c>
      <c r="F54" s="67" t="s">
        <v>449</v>
      </c>
      <c r="G54" s="67" t="s">
        <v>604</v>
      </c>
      <c r="H54" s="68">
        <v>60.0</v>
      </c>
      <c r="I54" s="67" t="s">
        <v>617</v>
      </c>
      <c r="J54" s="67" t="s">
        <v>618</v>
      </c>
      <c r="K54" s="68">
        <v>3.0</v>
      </c>
      <c r="L54" s="67" t="s">
        <v>623</v>
      </c>
      <c r="Q54" s="67" t="s">
        <v>624</v>
      </c>
      <c r="R54" s="21"/>
      <c r="S54" s="21"/>
      <c r="T54" s="21"/>
      <c r="U54" s="21"/>
      <c r="V54" s="21"/>
      <c r="W54" s="21"/>
      <c r="X54" s="21"/>
      <c r="Y54" s="21"/>
      <c r="Z54" s="21"/>
      <c r="AA54" s="21"/>
      <c r="AB54" s="21"/>
      <c r="AC54" s="21"/>
      <c r="AD54" s="21"/>
    </row>
    <row r="55">
      <c r="A55" s="67" t="s">
        <v>446</v>
      </c>
      <c r="B55" s="68">
        <v>7.0</v>
      </c>
      <c r="C55" s="67" t="s">
        <v>615</v>
      </c>
      <c r="D55" s="67" t="s">
        <v>616</v>
      </c>
      <c r="E55" s="68">
        <v>1.0</v>
      </c>
      <c r="F55" s="67" t="s">
        <v>449</v>
      </c>
      <c r="G55" s="67" t="s">
        <v>604</v>
      </c>
      <c r="H55" s="68">
        <v>60.0</v>
      </c>
      <c r="I55" s="67" t="s">
        <v>617</v>
      </c>
      <c r="J55" s="67" t="s">
        <v>618</v>
      </c>
      <c r="K55" s="68">
        <v>4.0</v>
      </c>
      <c r="L55" s="67" t="s">
        <v>625</v>
      </c>
      <c r="Q55" s="67" t="s">
        <v>626</v>
      </c>
      <c r="R55" s="21"/>
      <c r="S55" s="21"/>
      <c r="T55" s="21"/>
      <c r="U55" s="21"/>
      <c r="V55" s="21"/>
      <c r="W55" s="21"/>
      <c r="X55" s="21"/>
      <c r="Y55" s="21"/>
      <c r="Z55" s="21"/>
      <c r="AA55" s="21"/>
      <c r="AB55" s="21"/>
      <c r="AC55" s="21"/>
      <c r="AD55" s="21"/>
    </row>
    <row r="56">
      <c r="A56" s="67" t="s">
        <v>446</v>
      </c>
      <c r="B56" s="68">
        <v>7.0</v>
      </c>
      <c r="C56" s="67" t="s">
        <v>615</v>
      </c>
      <c r="D56" s="67" t="s">
        <v>616</v>
      </c>
      <c r="E56" s="68">
        <v>1.0</v>
      </c>
      <c r="F56" s="67" t="s">
        <v>449</v>
      </c>
      <c r="G56" s="67" t="s">
        <v>604</v>
      </c>
      <c r="H56" s="68">
        <v>60.0</v>
      </c>
      <c r="I56" s="67" t="s">
        <v>617</v>
      </c>
      <c r="J56" s="67" t="s">
        <v>618</v>
      </c>
      <c r="K56" s="68">
        <v>5.0</v>
      </c>
      <c r="L56" s="67" t="s">
        <v>627</v>
      </c>
      <c r="Q56" s="67" t="s">
        <v>628</v>
      </c>
      <c r="R56" s="21"/>
      <c r="S56" s="21"/>
      <c r="T56" s="21"/>
      <c r="U56" s="21"/>
      <c r="V56" s="21"/>
      <c r="W56" s="21"/>
      <c r="X56" s="21"/>
      <c r="Y56" s="21"/>
      <c r="Z56" s="21"/>
      <c r="AA56" s="21"/>
      <c r="AB56" s="21"/>
      <c r="AC56" s="21"/>
      <c r="AD56" s="21"/>
    </row>
    <row r="57">
      <c r="A57" s="67" t="s">
        <v>446</v>
      </c>
      <c r="B57" s="68">
        <v>8.0</v>
      </c>
      <c r="C57" s="67" t="s">
        <v>629</v>
      </c>
      <c r="D57" s="67" t="s">
        <v>630</v>
      </c>
      <c r="E57" s="68">
        <v>1.0</v>
      </c>
      <c r="F57" s="67" t="s">
        <v>449</v>
      </c>
      <c r="G57" s="67" t="s">
        <v>631</v>
      </c>
      <c r="H57" s="68">
        <v>61.0</v>
      </c>
      <c r="I57" s="67" t="s">
        <v>632</v>
      </c>
      <c r="J57" s="67" t="s">
        <v>633</v>
      </c>
      <c r="K57" s="68">
        <v>2.0</v>
      </c>
      <c r="L57" s="67" t="s">
        <v>634</v>
      </c>
      <c r="Q57" s="67" t="s">
        <v>635</v>
      </c>
      <c r="R57" s="21"/>
      <c r="S57" s="21"/>
      <c r="T57" s="21"/>
      <c r="U57" s="21"/>
      <c r="V57" s="21"/>
      <c r="W57" s="21"/>
      <c r="X57" s="21"/>
      <c r="Y57" s="21"/>
      <c r="Z57" s="21"/>
      <c r="AA57" s="21"/>
      <c r="AB57" s="21"/>
      <c r="AC57" s="21"/>
      <c r="AD57" s="21"/>
    </row>
    <row r="58">
      <c r="A58" s="67" t="s">
        <v>446</v>
      </c>
      <c r="B58" s="68">
        <v>8.0</v>
      </c>
      <c r="C58" s="67" t="s">
        <v>629</v>
      </c>
      <c r="D58" s="67" t="s">
        <v>630</v>
      </c>
      <c r="E58" s="68">
        <v>3.0</v>
      </c>
      <c r="F58" s="67" t="s">
        <v>535</v>
      </c>
      <c r="G58" s="67" t="s">
        <v>636</v>
      </c>
      <c r="H58" s="68">
        <v>63.0</v>
      </c>
      <c r="I58" s="67" t="s">
        <v>637</v>
      </c>
      <c r="J58" s="67" t="s">
        <v>638</v>
      </c>
      <c r="K58" s="68">
        <v>5.0</v>
      </c>
      <c r="L58" s="67" t="s">
        <v>639</v>
      </c>
      <c r="Q58" s="67" t="s">
        <v>640</v>
      </c>
      <c r="R58" s="21"/>
      <c r="S58" s="21"/>
      <c r="T58" s="21"/>
      <c r="U58" s="21"/>
      <c r="V58" s="21"/>
      <c r="W58" s="21"/>
      <c r="X58" s="21"/>
      <c r="Y58" s="21"/>
      <c r="Z58" s="21"/>
      <c r="AA58" s="21"/>
      <c r="AB58" s="21"/>
      <c r="AC58" s="21"/>
      <c r="AD58" s="21"/>
    </row>
    <row r="59">
      <c r="A59" s="67" t="s">
        <v>446</v>
      </c>
      <c r="B59" s="68">
        <v>8.0</v>
      </c>
      <c r="C59" s="67" t="s">
        <v>629</v>
      </c>
      <c r="D59" s="67" t="s">
        <v>630</v>
      </c>
      <c r="E59" s="68">
        <v>3.0</v>
      </c>
      <c r="F59" s="67" t="s">
        <v>535</v>
      </c>
      <c r="G59" s="67" t="s">
        <v>636</v>
      </c>
      <c r="H59" s="68">
        <v>63.0</v>
      </c>
      <c r="I59" s="67" t="s">
        <v>637</v>
      </c>
      <c r="J59" s="67" t="s">
        <v>638</v>
      </c>
      <c r="K59" s="68">
        <v>6.0</v>
      </c>
      <c r="L59" s="67" t="s">
        <v>641</v>
      </c>
      <c r="Q59" s="67" t="s">
        <v>642</v>
      </c>
      <c r="R59" s="21"/>
      <c r="S59" s="21"/>
      <c r="T59" s="21"/>
      <c r="U59" s="21"/>
      <c r="V59" s="21"/>
      <c r="W59" s="21"/>
      <c r="X59" s="21"/>
      <c r="Y59" s="21"/>
      <c r="Z59" s="21"/>
      <c r="AA59" s="21"/>
      <c r="AB59" s="21"/>
      <c r="AC59" s="21"/>
      <c r="AD59" s="21"/>
    </row>
    <row r="60">
      <c r="A60" s="67" t="s">
        <v>446</v>
      </c>
      <c r="B60" s="68">
        <v>8.0</v>
      </c>
      <c r="C60" s="67" t="s">
        <v>629</v>
      </c>
      <c r="D60" s="67" t="s">
        <v>630</v>
      </c>
      <c r="E60" s="68">
        <v>3.0</v>
      </c>
      <c r="F60" s="67" t="s">
        <v>535</v>
      </c>
      <c r="G60" s="67" t="s">
        <v>636</v>
      </c>
      <c r="H60" s="68">
        <v>64.0</v>
      </c>
      <c r="I60" s="67" t="s">
        <v>643</v>
      </c>
      <c r="J60" s="67" t="s">
        <v>644</v>
      </c>
      <c r="K60" s="68">
        <v>1.0</v>
      </c>
      <c r="L60" s="67" t="s">
        <v>645</v>
      </c>
      <c r="Q60" s="67" t="s">
        <v>646</v>
      </c>
      <c r="R60" s="21"/>
      <c r="S60" s="21"/>
      <c r="T60" s="21"/>
      <c r="U60" s="21"/>
      <c r="V60" s="21"/>
      <c r="W60" s="21"/>
      <c r="X60" s="21"/>
      <c r="Y60" s="21"/>
      <c r="Z60" s="21"/>
      <c r="AA60" s="21"/>
      <c r="AB60" s="21"/>
      <c r="AC60" s="21"/>
      <c r="AD60" s="21"/>
    </row>
    <row r="61">
      <c r="A61" s="67" t="s">
        <v>446</v>
      </c>
      <c r="B61" s="68">
        <v>8.0</v>
      </c>
      <c r="C61" s="67" t="s">
        <v>629</v>
      </c>
      <c r="D61" s="67" t="s">
        <v>630</v>
      </c>
      <c r="E61" s="68">
        <v>3.0</v>
      </c>
      <c r="F61" s="67" t="s">
        <v>535</v>
      </c>
      <c r="G61" s="67" t="s">
        <v>636</v>
      </c>
      <c r="H61" s="68">
        <v>65.0</v>
      </c>
      <c r="I61" s="67" t="s">
        <v>647</v>
      </c>
      <c r="J61" s="67" t="s">
        <v>648</v>
      </c>
      <c r="K61" s="68">
        <v>6.0</v>
      </c>
      <c r="L61" s="67" t="s">
        <v>649</v>
      </c>
      <c r="M61" s="67" t="s">
        <v>496</v>
      </c>
      <c r="N61" s="67" t="s">
        <v>650</v>
      </c>
      <c r="Q61" s="67" t="s">
        <v>651</v>
      </c>
      <c r="R61" s="21"/>
      <c r="S61" s="21"/>
      <c r="T61" s="21"/>
      <c r="U61" s="21"/>
      <c r="V61" s="21"/>
      <c r="W61" s="21"/>
      <c r="X61" s="21"/>
      <c r="Y61" s="21"/>
      <c r="Z61" s="21"/>
      <c r="AA61" s="21"/>
      <c r="AB61" s="21"/>
      <c r="AC61" s="21"/>
      <c r="AD61" s="21"/>
    </row>
    <row r="62">
      <c r="A62" s="67" t="s">
        <v>446</v>
      </c>
      <c r="B62" s="68">
        <v>8.0</v>
      </c>
      <c r="C62" s="67" t="s">
        <v>629</v>
      </c>
      <c r="D62" s="67" t="s">
        <v>630</v>
      </c>
      <c r="E62" s="68">
        <v>3.0</v>
      </c>
      <c r="F62" s="67" t="s">
        <v>535</v>
      </c>
      <c r="G62" s="67" t="s">
        <v>636</v>
      </c>
      <c r="H62" s="68">
        <v>65.0</v>
      </c>
      <c r="I62" s="67" t="s">
        <v>647</v>
      </c>
      <c r="J62" s="67" t="s">
        <v>648</v>
      </c>
      <c r="K62" s="68">
        <v>6.0</v>
      </c>
      <c r="L62" s="67" t="s">
        <v>649</v>
      </c>
      <c r="M62" s="67" t="s">
        <v>499</v>
      </c>
      <c r="N62" s="67" t="s">
        <v>652</v>
      </c>
      <c r="Q62" s="67" t="s">
        <v>653</v>
      </c>
      <c r="R62" s="21"/>
      <c r="S62" s="21"/>
      <c r="T62" s="21"/>
      <c r="U62" s="21"/>
      <c r="V62" s="21"/>
      <c r="W62" s="21"/>
      <c r="X62" s="21"/>
      <c r="Y62" s="21"/>
      <c r="Z62" s="21"/>
      <c r="AA62" s="21"/>
      <c r="AB62" s="21"/>
      <c r="AC62" s="21"/>
      <c r="AD62" s="21"/>
    </row>
    <row r="63">
      <c r="A63" s="67" t="s">
        <v>446</v>
      </c>
      <c r="B63" s="68">
        <v>8.0</v>
      </c>
      <c r="C63" s="67" t="s">
        <v>629</v>
      </c>
      <c r="D63" s="67" t="s">
        <v>630</v>
      </c>
      <c r="E63" s="68">
        <v>3.0</v>
      </c>
      <c r="F63" s="67" t="s">
        <v>535</v>
      </c>
      <c r="G63" s="67" t="s">
        <v>636</v>
      </c>
      <c r="H63" s="68">
        <v>67.0</v>
      </c>
      <c r="I63" s="67" t="s">
        <v>654</v>
      </c>
      <c r="J63" s="67" t="s">
        <v>655</v>
      </c>
      <c r="K63" s="68">
        <v>3.0</v>
      </c>
      <c r="L63" s="67" t="s">
        <v>656</v>
      </c>
      <c r="Q63" s="67" t="s">
        <v>657</v>
      </c>
      <c r="R63" s="21"/>
      <c r="S63" s="21"/>
      <c r="T63" s="21"/>
      <c r="U63" s="21"/>
      <c r="V63" s="21"/>
      <c r="W63" s="21"/>
      <c r="X63" s="21"/>
      <c r="Y63" s="21"/>
      <c r="Z63" s="21"/>
      <c r="AA63" s="21"/>
      <c r="AB63" s="21"/>
      <c r="AC63" s="21"/>
      <c r="AD63" s="21"/>
    </row>
    <row r="64">
      <c r="A64" s="67" t="s">
        <v>446</v>
      </c>
      <c r="B64" s="68">
        <v>10.0</v>
      </c>
      <c r="C64" s="67" t="s">
        <v>658</v>
      </c>
      <c r="D64" s="67" t="s">
        <v>659</v>
      </c>
      <c r="E64" s="68">
        <v>1.0</v>
      </c>
      <c r="F64" s="67" t="s">
        <v>449</v>
      </c>
      <c r="G64" s="67" t="s">
        <v>450</v>
      </c>
      <c r="H64" s="68">
        <v>70.0</v>
      </c>
      <c r="I64" s="67" t="s">
        <v>660</v>
      </c>
      <c r="J64" s="67" t="s">
        <v>661</v>
      </c>
      <c r="K64" s="68">
        <v>1.0</v>
      </c>
      <c r="L64" s="67" t="s">
        <v>662</v>
      </c>
      <c r="M64" s="67" t="s">
        <v>496</v>
      </c>
      <c r="N64" s="67" t="s">
        <v>663</v>
      </c>
      <c r="Q64" s="67" t="s">
        <v>664</v>
      </c>
      <c r="R64" s="21"/>
      <c r="S64" s="21"/>
      <c r="T64" s="21"/>
      <c r="U64" s="21"/>
      <c r="V64" s="21"/>
      <c r="W64" s="21"/>
      <c r="X64" s="21"/>
      <c r="Y64" s="21"/>
      <c r="Z64" s="21"/>
      <c r="AA64" s="21"/>
      <c r="AB64" s="21"/>
      <c r="AC64" s="21"/>
      <c r="AD64" s="21"/>
    </row>
    <row r="65">
      <c r="A65" s="67" t="s">
        <v>446</v>
      </c>
      <c r="B65" s="68">
        <v>10.0</v>
      </c>
      <c r="C65" s="67" t="s">
        <v>658</v>
      </c>
      <c r="D65" s="67" t="s">
        <v>659</v>
      </c>
      <c r="E65" s="68">
        <v>1.0</v>
      </c>
      <c r="F65" s="67" t="s">
        <v>449</v>
      </c>
      <c r="G65" s="67" t="s">
        <v>450</v>
      </c>
      <c r="H65" s="68">
        <v>70.0</v>
      </c>
      <c r="I65" s="67" t="s">
        <v>660</v>
      </c>
      <c r="J65" s="67" t="s">
        <v>661</v>
      </c>
      <c r="K65" s="68">
        <v>1.0</v>
      </c>
      <c r="L65" s="67" t="s">
        <v>662</v>
      </c>
      <c r="M65" s="67" t="s">
        <v>499</v>
      </c>
      <c r="N65" s="67" t="s">
        <v>665</v>
      </c>
      <c r="Q65" s="67" t="s">
        <v>666</v>
      </c>
      <c r="R65" s="21"/>
      <c r="S65" s="21"/>
      <c r="T65" s="21"/>
      <c r="U65" s="21"/>
      <c r="V65" s="21"/>
      <c r="W65" s="21"/>
      <c r="X65" s="21"/>
      <c r="Y65" s="21"/>
      <c r="Z65" s="21"/>
      <c r="AA65" s="21"/>
      <c r="AB65" s="21"/>
      <c r="AC65" s="21"/>
      <c r="AD65" s="21"/>
    </row>
    <row r="66">
      <c r="A66" s="67" t="s">
        <v>446</v>
      </c>
      <c r="B66" s="68">
        <v>10.0</v>
      </c>
      <c r="C66" s="67" t="s">
        <v>658</v>
      </c>
      <c r="D66" s="67" t="s">
        <v>659</v>
      </c>
      <c r="E66" s="68">
        <v>1.0</v>
      </c>
      <c r="F66" s="67" t="s">
        <v>449</v>
      </c>
      <c r="G66" s="67" t="s">
        <v>450</v>
      </c>
      <c r="H66" s="68">
        <v>70.0</v>
      </c>
      <c r="I66" s="67" t="s">
        <v>660</v>
      </c>
      <c r="J66" s="67" t="s">
        <v>661</v>
      </c>
      <c r="K66" s="68">
        <v>1.0</v>
      </c>
      <c r="L66" s="67" t="s">
        <v>662</v>
      </c>
      <c r="M66" s="67" t="s">
        <v>477</v>
      </c>
      <c r="N66" s="67" t="s">
        <v>667</v>
      </c>
      <c r="Q66" s="67" t="s">
        <v>668</v>
      </c>
      <c r="R66" s="21"/>
      <c r="S66" s="21"/>
      <c r="T66" s="21"/>
      <c r="U66" s="21"/>
      <c r="V66" s="21"/>
      <c r="W66" s="21"/>
      <c r="X66" s="21"/>
      <c r="Y66" s="21"/>
      <c r="Z66" s="21"/>
      <c r="AA66" s="21"/>
      <c r="AB66" s="21"/>
      <c r="AC66" s="21"/>
      <c r="AD66" s="21"/>
    </row>
    <row r="67">
      <c r="A67" s="67" t="s">
        <v>446</v>
      </c>
      <c r="B67" s="68">
        <v>10.0</v>
      </c>
      <c r="C67" s="67" t="s">
        <v>658</v>
      </c>
      <c r="D67" s="67" t="s">
        <v>659</v>
      </c>
      <c r="E67" s="68">
        <v>1.0</v>
      </c>
      <c r="F67" s="67" t="s">
        <v>449</v>
      </c>
      <c r="G67" s="67" t="s">
        <v>450</v>
      </c>
      <c r="H67" s="68">
        <v>72.0</v>
      </c>
      <c r="I67" s="67" t="s">
        <v>669</v>
      </c>
      <c r="J67" s="67" t="s">
        <v>670</v>
      </c>
      <c r="K67" s="68">
        <v>1.0</v>
      </c>
      <c r="L67" s="67" t="s">
        <v>671</v>
      </c>
      <c r="M67" s="67" t="s">
        <v>496</v>
      </c>
      <c r="N67" s="67" t="s">
        <v>672</v>
      </c>
      <c r="Q67" s="67" t="s">
        <v>673</v>
      </c>
      <c r="R67" s="21"/>
      <c r="S67" s="21"/>
      <c r="T67" s="21"/>
      <c r="U67" s="21"/>
      <c r="V67" s="21"/>
      <c r="W67" s="21"/>
      <c r="X67" s="21"/>
      <c r="Y67" s="21"/>
      <c r="Z67" s="21"/>
      <c r="AA67" s="21"/>
      <c r="AB67" s="21"/>
      <c r="AC67" s="21"/>
      <c r="AD67" s="21"/>
    </row>
    <row r="68">
      <c r="A68" s="67" t="s">
        <v>446</v>
      </c>
      <c r="B68" s="68">
        <v>10.0</v>
      </c>
      <c r="C68" s="67" t="s">
        <v>658</v>
      </c>
      <c r="D68" s="67" t="s">
        <v>659</v>
      </c>
      <c r="E68" s="68">
        <v>1.0</v>
      </c>
      <c r="F68" s="67" t="s">
        <v>449</v>
      </c>
      <c r="G68" s="67" t="s">
        <v>450</v>
      </c>
      <c r="H68" s="68">
        <v>72.0</v>
      </c>
      <c r="I68" s="67" t="s">
        <v>669</v>
      </c>
      <c r="J68" s="67" t="s">
        <v>670</v>
      </c>
      <c r="K68" s="68">
        <v>1.0</v>
      </c>
      <c r="L68" s="67" t="s">
        <v>671</v>
      </c>
      <c r="M68" s="67" t="s">
        <v>499</v>
      </c>
      <c r="N68" s="67" t="s">
        <v>674</v>
      </c>
      <c r="Q68" s="67" t="s">
        <v>675</v>
      </c>
      <c r="R68" s="21"/>
      <c r="S68" s="21"/>
      <c r="T68" s="21"/>
      <c r="U68" s="21"/>
      <c r="V68" s="21"/>
      <c r="W68" s="21"/>
      <c r="X68" s="21"/>
      <c r="Y68" s="21"/>
      <c r="Z68" s="21"/>
      <c r="AA68" s="21"/>
      <c r="AB68" s="21"/>
      <c r="AC68" s="21"/>
      <c r="AD68" s="21"/>
    </row>
    <row r="69">
      <c r="A69" s="67" t="s">
        <v>446</v>
      </c>
      <c r="B69" s="68">
        <v>10.0</v>
      </c>
      <c r="C69" s="67" t="s">
        <v>658</v>
      </c>
      <c r="D69" s="67" t="s">
        <v>659</v>
      </c>
      <c r="E69" s="68">
        <v>1.0</v>
      </c>
      <c r="F69" s="67" t="s">
        <v>449</v>
      </c>
      <c r="G69" s="67" t="s">
        <v>450</v>
      </c>
      <c r="H69" s="68">
        <v>72.0</v>
      </c>
      <c r="I69" s="67" t="s">
        <v>669</v>
      </c>
      <c r="J69" s="67" t="s">
        <v>670</v>
      </c>
      <c r="K69" s="68">
        <v>1.0</v>
      </c>
      <c r="L69" s="67" t="s">
        <v>671</v>
      </c>
      <c r="M69" s="67" t="s">
        <v>477</v>
      </c>
      <c r="N69" s="67" t="s">
        <v>676</v>
      </c>
      <c r="Q69" s="67" t="s">
        <v>677</v>
      </c>
      <c r="R69" s="21"/>
      <c r="S69" s="21"/>
      <c r="T69" s="21"/>
      <c r="U69" s="21"/>
      <c r="V69" s="21"/>
      <c r="W69" s="21"/>
      <c r="X69" s="21"/>
      <c r="Y69" s="21"/>
      <c r="Z69" s="21"/>
      <c r="AA69" s="21"/>
      <c r="AB69" s="21"/>
      <c r="AC69" s="21"/>
      <c r="AD69" s="21"/>
    </row>
    <row r="70">
      <c r="A70" s="67" t="s">
        <v>446</v>
      </c>
      <c r="B70" s="68">
        <v>10.0</v>
      </c>
      <c r="C70" s="67" t="s">
        <v>658</v>
      </c>
      <c r="D70" s="67" t="s">
        <v>659</v>
      </c>
      <c r="E70" s="68">
        <v>1.0</v>
      </c>
      <c r="F70" s="67" t="s">
        <v>449</v>
      </c>
      <c r="G70" s="67" t="s">
        <v>450</v>
      </c>
      <c r="H70" s="68">
        <v>72.0</v>
      </c>
      <c r="I70" s="67" t="s">
        <v>669</v>
      </c>
      <c r="J70" s="67" t="s">
        <v>670</v>
      </c>
      <c r="K70" s="68">
        <v>4.0</v>
      </c>
      <c r="L70" s="67" t="s">
        <v>678</v>
      </c>
      <c r="Q70" s="67" t="s">
        <v>679</v>
      </c>
      <c r="R70" s="21"/>
      <c r="S70" s="21"/>
      <c r="T70" s="21"/>
      <c r="U70" s="21"/>
      <c r="V70" s="21"/>
      <c r="W70" s="21"/>
      <c r="X70" s="21"/>
      <c r="Y70" s="21"/>
      <c r="Z70" s="21"/>
      <c r="AA70" s="21"/>
      <c r="AB70" s="21"/>
      <c r="AC70" s="21"/>
      <c r="AD70" s="21"/>
    </row>
    <row r="71">
      <c r="A71" s="67" t="s">
        <v>446</v>
      </c>
      <c r="B71" s="68">
        <v>10.0</v>
      </c>
      <c r="C71" s="67" t="s">
        <v>658</v>
      </c>
      <c r="D71" s="67" t="s">
        <v>659</v>
      </c>
      <c r="E71" s="68">
        <v>1.0</v>
      </c>
      <c r="F71" s="67" t="s">
        <v>449</v>
      </c>
      <c r="G71" s="67" t="s">
        <v>450</v>
      </c>
      <c r="H71" s="68">
        <v>72.0</v>
      </c>
      <c r="I71" s="67" t="s">
        <v>669</v>
      </c>
      <c r="J71" s="67" t="s">
        <v>670</v>
      </c>
      <c r="K71" s="68">
        <v>5.0</v>
      </c>
      <c r="L71" s="67" t="s">
        <v>680</v>
      </c>
      <c r="Q71" s="67" t="s">
        <v>681</v>
      </c>
      <c r="R71" s="21"/>
      <c r="S71" s="21"/>
      <c r="T71" s="21"/>
      <c r="U71" s="21"/>
      <c r="V71" s="21"/>
      <c r="W71" s="21"/>
      <c r="X71" s="21"/>
      <c r="Y71" s="21"/>
      <c r="Z71" s="21"/>
      <c r="AA71" s="21"/>
      <c r="AB71" s="21"/>
      <c r="AC71" s="21"/>
      <c r="AD71" s="21"/>
    </row>
    <row r="72">
      <c r="A72" s="70" t="s">
        <v>446</v>
      </c>
      <c r="B72" s="21"/>
      <c r="C72" s="21"/>
      <c r="D72" s="21"/>
      <c r="E72" s="21"/>
      <c r="F72" s="21"/>
      <c r="G72" s="21"/>
      <c r="H72" s="21"/>
      <c r="I72" s="21"/>
      <c r="J72" s="21"/>
      <c r="K72" s="21"/>
      <c r="L72" s="21"/>
      <c r="M72" s="21"/>
      <c r="N72" s="21"/>
      <c r="O72" s="21"/>
      <c r="P72" s="21"/>
      <c r="Q72" s="21"/>
      <c r="R72" s="26">
        <v>2.0</v>
      </c>
      <c r="S72" s="21" t="s">
        <v>682</v>
      </c>
      <c r="T72" s="21" t="s">
        <v>683</v>
      </c>
      <c r="U72" s="21"/>
      <c r="V72" s="21"/>
      <c r="W72" s="21"/>
      <c r="X72" s="21"/>
      <c r="Y72" s="21"/>
      <c r="Z72" s="21"/>
      <c r="AA72" s="21"/>
      <c r="AB72" s="21"/>
      <c r="AC72" s="21"/>
      <c r="AD72" s="21"/>
    </row>
    <row r="73">
      <c r="A73" s="70" t="s">
        <v>446</v>
      </c>
      <c r="B73" s="21"/>
      <c r="C73" s="21"/>
      <c r="D73" s="21"/>
      <c r="E73" s="21"/>
      <c r="F73" s="21"/>
      <c r="G73" s="21"/>
      <c r="H73" s="21"/>
      <c r="I73" s="21"/>
      <c r="J73" s="21"/>
      <c r="K73" s="21"/>
      <c r="L73" s="21"/>
      <c r="M73" s="21"/>
      <c r="N73" s="21"/>
      <c r="O73" s="21"/>
      <c r="P73" s="21"/>
      <c r="Q73" s="21"/>
      <c r="R73" s="26">
        <v>7.0</v>
      </c>
      <c r="S73" s="21" t="s">
        <v>684</v>
      </c>
      <c r="T73" s="21" t="s">
        <v>685</v>
      </c>
      <c r="U73" s="21"/>
      <c r="V73" s="21"/>
      <c r="W73" s="21"/>
      <c r="X73" s="21"/>
      <c r="Y73" s="21"/>
      <c r="Z73" s="21"/>
      <c r="AA73" s="21"/>
      <c r="AB73" s="21"/>
      <c r="AC73" s="21"/>
      <c r="AD73" s="21"/>
    </row>
    <row r="74">
      <c r="A74" s="70" t="s">
        <v>446</v>
      </c>
      <c r="B74" s="21"/>
      <c r="C74" s="21"/>
      <c r="D74" s="21"/>
      <c r="E74" s="21"/>
      <c r="F74" s="21"/>
      <c r="G74" s="21"/>
      <c r="H74" s="21"/>
      <c r="I74" s="21"/>
      <c r="J74" s="21"/>
      <c r="K74" s="21"/>
      <c r="L74" s="21"/>
      <c r="M74" s="21"/>
      <c r="N74" s="21"/>
      <c r="O74" s="21"/>
      <c r="P74" s="21"/>
      <c r="Q74" s="21"/>
      <c r="R74" s="26">
        <v>8.0</v>
      </c>
      <c r="S74" s="21" t="s">
        <v>686</v>
      </c>
      <c r="T74" s="21" t="s">
        <v>687</v>
      </c>
      <c r="U74" s="21"/>
      <c r="V74" s="21"/>
      <c r="W74" s="21"/>
      <c r="X74" s="21"/>
      <c r="Y74" s="21"/>
      <c r="Z74" s="21"/>
      <c r="AA74" s="21"/>
      <c r="AB74" s="21"/>
      <c r="AC74" s="21"/>
      <c r="AD74" s="21"/>
    </row>
    <row r="75">
      <c r="A75" s="70" t="s">
        <v>446</v>
      </c>
      <c r="B75" s="21"/>
      <c r="C75" s="21"/>
      <c r="D75" s="21"/>
      <c r="E75" s="21"/>
      <c r="F75" s="21"/>
      <c r="G75" s="21"/>
      <c r="H75" s="21"/>
      <c r="I75" s="21"/>
      <c r="J75" s="21"/>
      <c r="K75" s="21"/>
      <c r="L75" s="21"/>
      <c r="M75" s="21"/>
      <c r="N75" s="21"/>
      <c r="O75" s="21"/>
      <c r="P75" s="21"/>
      <c r="Q75" s="21"/>
      <c r="R75" s="26">
        <v>9.0</v>
      </c>
      <c r="S75" s="21" t="s">
        <v>688</v>
      </c>
      <c r="T75" s="21" t="s">
        <v>689</v>
      </c>
      <c r="U75" s="21"/>
      <c r="V75" s="21"/>
      <c r="W75" s="21"/>
      <c r="X75" s="21"/>
      <c r="Y75" s="21"/>
      <c r="Z75" s="21"/>
      <c r="AA75" s="21"/>
      <c r="AB75" s="21"/>
      <c r="AC75" s="21"/>
      <c r="AD75" s="21"/>
    </row>
    <row r="76">
      <c r="A76" s="70" t="s">
        <v>446</v>
      </c>
      <c r="B76" s="21"/>
      <c r="C76" s="21"/>
      <c r="D76" s="21"/>
      <c r="E76" s="21"/>
      <c r="F76" s="21"/>
      <c r="G76" s="21"/>
      <c r="H76" s="21"/>
      <c r="I76" s="21"/>
      <c r="J76" s="21"/>
      <c r="K76" s="21"/>
      <c r="L76" s="21"/>
      <c r="M76" s="21"/>
      <c r="N76" s="21"/>
      <c r="O76" s="21"/>
      <c r="P76" s="21"/>
      <c r="Q76" s="21"/>
      <c r="R76" s="26">
        <v>10.0</v>
      </c>
      <c r="S76" s="21" t="s">
        <v>690</v>
      </c>
      <c r="T76" s="21" t="s">
        <v>691</v>
      </c>
      <c r="U76" s="21"/>
      <c r="V76" s="21"/>
      <c r="W76" s="21"/>
      <c r="X76" s="21"/>
      <c r="Y76" s="21"/>
      <c r="Z76" s="21"/>
      <c r="AA76" s="21"/>
      <c r="AB76" s="21"/>
      <c r="AC76" s="21"/>
      <c r="AD76" s="21"/>
    </row>
    <row r="77">
      <c r="A77" s="70" t="s">
        <v>446</v>
      </c>
      <c r="B77" s="21"/>
      <c r="C77" s="21"/>
      <c r="D77" s="21"/>
      <c r="E77" s="21"/>
      <c r="F77" s="21"/>
      <c r="G77" s="21"/>
      <c r="H77" s="21"/>
      <c r="I77" s="21"/>
      <c r="J77" s="21"/>
      <c r="K77" s="21"/>
      <c r="L77" s="21"/>
      <c r="M77" s="21"/>
      <c r="N77" s="21"/>
      <c r="O77" s="21"/>
      <c r="P77" s="21"/>
      <c r="Q77" s="21"/>
      <c r="R77" s="26">
        <v>11.0</v>
      </c>
      <c r="S77" s="21" t="s">
        <v>692</v>
      </c>
      <c r="T77" s="21" t="s">
        <v>693</v>
      </c>
      <c r="U77" s="21"/>
      <c r="V77" s="21"/>
      <c r="W77" s="21"/>
      <c r="X77" s="21"/>
      <c r="Y77" s="21"/>
      <c r="Z77" s="21"/>
      <c r="AA77" s="21"/>
      <c r="AB77" s="21"/>
      <c r="AC77" s="21"/>
      <c r="AD77" s="21"/>
    </row>
    <row r="78">
      <c r="A78" s="70" t="s">
        <v>446</v>
      </c>
      <c r="B78" s="21"/>
      <c r="C78" s="21"/>
      <c r="D78" s="21"/>
      <c r="E78" s="21"/>
      <c r="F78" s="21"/>
      <c r="G78" s="21"/>
      <c r="H78" s="21"/>
      <c r="I78" s="21"/>
      <c r="J78" s="21"/>
      <c r="K78" s="21"/>
      <c r="L78" s="21"/>
      <c r="M78" s="21"/>
      <c r="N78" s="21"/>
      <c r="O78" s="21"/>
      <c r="P78" s="21"/>
      <c r="Q78" s="21"/>
      <c r="R78" s="26">
        <v>12.0</v>
      </c>
      <c r="S78" s="21" t="s">
        <v>694</v>
      </c>
      <c r="T78" s="21" t="s">
        <v>695</v>
      </c>
      <c r="U78" s="21"/>
      <c r="V78" s="21"/>
      <c r="W78" s="21"/>
      <c r="X78" s="21"/>
      <c r="Y78" s="21"/>
      <c r="Z78" s="21"/>
      <c r="AA78" s="21"/>
      <c r="AB78" s="21"/>
      <c r="AC78" s="21"/>
      <c r="AD78" s="21"/>
    </row>
    <row r="79">
      <c r="A79" s="70" t="s">
        <v>446</v>
      </c>
      <c r="B79" s="21"/>
      <c r="C79" s="21"/>
      <c r="D79" s="21"/>
      <c r="E79" s="21"/>
      <c r="F79" s="21"/>
      <c r="G79" s="21"/>
      <c r="H79" s="21"/>
      <c r="I79" s="21"/>
      <c r="J79" s="21"/>
      <c r="K79" s="21"/>
      <c r="L79" s="21"/>
      <c r="M79" s="21"/>
      <c r="N79" s="21"/>
      <c r="O79" s="21"/>
      <c r="P79" s="21"/>
      <c r="Q79" s="21"/>
      <c r="R79" s="26">
        <v>13.0</v>
      </c>
      <c r="S79" s="21" t="s">
        <v>696</v>
      </c>
      <c r="T79" s="21" t="s">
        <v>697</v>
      </c>
      <c r="U79" s="21"/>
      <c r="V79" s="21"/>
      <c r="W79" s="21"/>
      <c r="X79" s="21"/>
      <c r="Y79" s="21"/>
      <c r="Z79" s="21"/>
      <c r="AA79" s="21"/>
      <c r="AB79" s="21"/>
      <c r="AC79" s="21"/>
      <c r="AD79" s="21"/>
    </row>
    <row r="80">
      <c r="A80" s="70" t="s">
        <v>446</v>
      </c>
      <c r="B80" s="21"/>
      <c r="C80" s="21"/>
      <c r="D80" s="21"/>
      <c r="E80" s="21"/>
      <c r="F80" s="21"/>
      <c r="G80" s="21"/>
      <c r="H80" s="21"/>
      <c r="I80" s="21"/>
      <c r="J80" s="21"/>
      <c r="K80" s="21"/>
      <c r="L80" s="21"/>
      <c r="M80" s="21"/>
      <c r="N80" s="21"/>
      <c r="O80" s="21"/>
      <c r="P80" s="21"/>
      <c r="Q80" s="21"/>
      <c r="R80" s="26">
        <v>14.0</v>
      </c>
      <c r="S80" s="21" t="s">
        <v>698</v>
      </c>
      <c r="T80" s="21" t="s">
        <v>699</v>
      </c>
      <c r="U80" s="21"/>
      <c r="V80" s="21"/>
      <c r="W80" s="21"/>
      <c r="X80" s="21"/>
      <c r="Y80" s="21"/>
      <c r="Z80" s="21"/>
      <c r="AA80" s="21"/>
      <c r="AB80" s="21"/>
      <c r="AC80" s="21"/>
      <c r="AD80" s="21"/>
    </row>
    <row r="81">
      <c r="A81" s="70" t="s">
        <v>446</v>
      </c>
      <c r="B81" s="21"/>
      <c r="C81" s="21"/>
      <c r="D81" s="21"/>
      <c r="E81" s="21"/>
      <c r="F81" s="21"/>
      <c r="G81" s="21"/>
      <c r="H81" s="21"/>
      <c r="I81" s="21"/>
      <c r="J81" s="21"/>
      <c r="K81" s="21"/>
      <c r="L81" s="21"/>
      <c r="M81" s="21"/>
      <c r="N81" s="21"/>
      <c r="O81" s="21"/>
      <c r="P81" s="21"/>
      <c r="Q81" s="21"/>
      <c r="R81" s="26">
        <v>15.0</v>
      </c>
      <c r="S81" s="21" t="s">
        <v>700</v>
      </c>
      <c r="T81" s="21" t="s">
        <v>701</v>
      </c>
      <c r="U81" s="21"/>
      <c r="V81" s="21"/>
      <c r="W81" s="21"/>
      <c r="X81" s="21"/>
      <c r="Y81" s="21"/>
      <c r="Z81" s="21"/>
      <c r="AA81" s="21"/>
      <c r="AB81" s="21"/>
      <c r="AC81" s="21"/>
      <c r="AD81" s="21"/>
    </row>
    <row r="82">
      <c r="A82" s="70" t="s">
        <v>446</v>
      </c>
      <c r="B82" s="21"/>
      <c r="C82" s="21"/>
      <c r="D82" s="21"/>
      <c r="E82" s="21"/>
      <c r="F82" s="21"/>
      <c r="G82" s="21"/>
      <c r="H82" s="21"/>
      <c r="I82" s="21"/>
      <c r="J82" s="21"/>
      <c r="K82" s="21"/>
      <c r="L82" s="21"/>
      <c r="M82" s="21"/>
      <c r="N82" s="21"/>
      <c r="O82" s="21"/>
      <c r="P82" s="21"/>
      <c r="Q82" s="21"/>
      <c r="R82" s="26">
        <v>16.0</v>
      </c>
      <c r="S82" s="21" t="s">
        <v>702</v>
      </c>
      <c r="T82" s="21" t="s">
        <v>703</v>
      </c>
      <c r="U82" s="21"/>
      <c r="V82" s="21"/>
      <c r="W82" s="21"/>
      <c r="X82" s="21"/>
      <c r="Y82" s="21"/>
      <c r="Z82" s="21"/>
      <c r="AA82" s="21"/>
      <c r="AB82" s="21"/>
      <c r="AC82" s="21"/>
      <c r="AD82" s="21"/>
    </row>
    <row r="83">
      <c r="A83" s="70" t="s">
        <v>446</v>
      </c>
      <c r="B83" s="21"/>
      <c r="C83" s="21"/>
      <c r="D83" s="21"/>
      <c r="E83" s="21"/>
      <c r="F83" s="21"/>
      <c r="G83" s="21"/>
      <c r="H83" s="21"/>
      <c r="I83" s="21"/>
      <c r="J83" s="21"/>
      <c r="K83" s="21"/>
      <c r="L83" s="21"/>
      <c r="M83" s="21"/>
      <c r="N83" s="21"/>
      <c r="O83" s="21"/>
      <c r="P83" s="21"/>
      <c r="Q83" s="21"/>
      <c r="R83" s="26">
        <v>17.0</v>
      </c>
      <c r="S83" s="21" t="s">
        <v>704</v>
      </c>
      <c r="T83" s="21" t="s">
        <v>705</v>
      </c>
      <c r="U83" s="21"/>
      <c r="V83" s="21"/>
      <c r="W83" s="21"/>
      <c r="X83" s="21"/>
      <c r="Y83" s="21"/>
      <c r="Z83" s="21"/>
      <c r="AA83" s="21"/>
      <c r="AB83" s="21"/>
      <c r="AC83" s="21"/>
      <c r="AD83" s="21"/>
    </row>
    <row r="84">
      <c r="A84" s="70" t="s">
        <v>446</v>
      </c>
      <c r="B84" s="21"/>
      <c r="C84" s="21"/>
      <c r="D84" s="21"/>
      <c r="E84" s="21"/>
      <c r="F84" s="21"/>
      <c r="G84" s="21"/>
      <c r="H84" s="21"/>
      <c r="I84" s="21"/>
      <c r="J84" s="21"/>
      <c r="K84" s="21"/>
      <c r="L84" s="21"/>
      <c r="M84" s="21"/>
      <c r="N84" s="21"/>
      <c r="O84" s="21"/>
      <c r="P84" s="21"/>
      <c r="Q84" s="21"/>
      <c r="R84" s="26">
        <v>18.0</v>
      </c>
      <c r="S84" s="21" t="s">
        <v>706</v>
      </c>
      <c r="T84" s="21" t="s">
        <v>707</v>
      </c>
      <c r="U84" s="21"/>
      <c r="V84" s="21"/>
      <c r="W84" s="21"/>
      <c r="X84" s="21"/>
      <c r="Y84" s="21"/>
      <c r="Z84" s="21"/>
      <c r="AA84" s="21"/>
      <c r="AB84" s="21"/>
      <c r="AC84" s="21"/>
      <c r="AD84" s="21"/>
    </row>
    <row r="85">
      <c r="A85" s="70" t="s">
        <v>446</v>
      </c>
      <c r="B85" s="21"/>
      <c r="C85" s="21"/>
      <c r="D85" s="21"/>
      <c r="E85" s="21"/>
      <c r="F85" s="21"/>
      <c r="G85" s="21"/>
      <c r="H85" s="21"/>
      <c r="I85" s="21"/>
      <c r="J85" s="21"/>
      <c r="K85" s="21"/>
      <c r="L85" s="21"/>
      <c r="M85" s="21"/>
      <c r="N85" s="21"/>
      <c r="O85" s="21"/>
      <c r="P85" s="21"/>
      <c r="Q85" s="21"/>
      <c r="R85" s="26">
        <v>19.0</v>
      </c>
      <c r="S85" s="21" t="s">
        <v>708</v>
      </c>
      <c r="T85" s="21" t="s">
        <v>709</v>
      </c>
      <c r="U85" s="21"/>
      <c r="V85" s="21"/>
      <c r="W85" s="21"/>
      <c r="X85" s="21"/>
      <c r="Y85" s="21"/>
      <c r="Z85" s="21"/>
      <c r="AA85" s="21"/>
      <c r="AB85" s="21"/>
      <c r="AC85" s="21"/>
      <c r="AD85" s="21"/>
    </row>
    <row r="86">
      <c r="A86" s="70" t="s">
        <v>446</v>
      </c>
      <c r="B86" s="21"/>
      <c r="C86" s="21"/>
      <c r="D86" s="21"/>
      <c r="E86" s="21"/>
      <c r="F86" s="21"/>
      <c r="G86" s="21"/>
      <c r="H86" s="21"/>
      <c r="I86" s="21"/>
      <c r="J86" s="21"/>
      <c r="K86" s="21"/>
      <c r="L86" s="21"/>
      <c r="M86" s="21"/>
      <c r="N86" s="21"/>
      <c r="O86" s="21"/>
      <c r="P86" s="21"/>
      <c r="Q86" s="21"/>
      <c r="R86" s="26">
        <v>20.0</v>
      </c>
      <c r="S86" s="21" t="s">
        <v>710</v>
      </c>
      <c r="T86" s="21" t="s">
        <v>711</v>
      </c>
      <c r="U86" s="21"/>
      <c r="V86" s="21"/>
      <c r="W86" s="21"/>
      <c r="X86" s="21"/>
      <c r="Y86" s="21"/>
      <c r="Z86" s="21"/>
      <c r="AA86" s="21"/>
      <c r="AB86" s="21"/>
      <c r="AC86" s="21"/>
      <c r="AD86" s="21"/>
    </row>
    <row r="87">
      <c r="A87" s="70" t="s">
        <v>446</v>
      </c>
      <c r="B87" s="21"/>
      <c r="C87" s="21"/>
      <c r="D87" s="21"/>
      <c r="E87" s="21"/>
      <c r="F87" s="21"/>
      <c r="G87" s="21"/>
      <c r="H87" s="21"/>
      <c r="I87" s="21"/>
      <c r="J87" s="21"/>
      <c r="K87" s="21"/>
      <c r="L87" s="21"/>
      <c r="M87" s="21"/>
      <c r="N87" s="21"/>
      <c r="O87" s="21"/>
      <c r="P87" s="21"/>
      <c r="Q87" s="21"/>
      <c r="R87" s="26">
        <v>21.0</v>
      </c>
      <c r="S87" s="21" t="s">
        <v>712</v>
      </c>
      <c r="T87" s="21" t="s">
        <v>713</v>
      </c>
      <c r="U87" s="21"/>
      <c r="V87" s="21"/>
      <c r="W87" s="21"/>
      <c r="X87" s="21"/>
      <c r="Y87" s="21"/>
      <c r="Z87" s="21"/>
      <c r="AA87" s="21"/>
      <c r="AB87" s="21"/>
      <c r="AC87" s="21"/>
      <c r="AD87" s="21"/>
    </row>
    <row r="88">
      <c r="A88" s="70" t="s">
        <v>446</v>
      </c>
      <c r="B88" s="21"/>
      <c r="C88" s="21"/>
      <c r="D88" s="21"/>
      <c r="E88" s="21"/>
      <c r="F88" s="21"/>
      <c r="G88" s="21"/>
      <c r="H88" s="21"/>
      <c r="I88" s="21"/>
      <c r="J88" s="21"/>
      <c r="K88" s="21"/>
      <c r="L88" s="21"/>
      <c r="M88" s="21"/>
      <c r="N88" s="21"/>
      <c r="O88" s="21"/>
      <c r="P88" s="21"/>
      <c r="Q88" s="21"/>
      <c r="R88" s="26">
        <v>22.0</v>
      </c>
      <c r="S88" s="21" t="s">
        <v>714</v>
      </c>
      <c r="T88" s="21" t="s">
        <v>715</v>
      </c>
      <c r="U88" s="21"/>
      <c r="V88" s="21"/>
      <c r="W88" s="21"/>
      <c r="X88" s="21"/>
      <c r="Y88" s="21"/>
      <c r="Z88" s="21"/>
      <c r="AA88" s="21"/>
      <c r="AB88" s="21"/>
      <c r="AC88" s="21"/>
      <c r="AD88" s="21"/>
    </row>
    <row r="89">
      <c r="A89" s="70" t="s">
        <v>446</v>
      </c>
      <c r="B89" s="21"/>
      <c r="C89" s="21"/>
      <c r="D89" s="21"/>
      <c r="E89" s="21"/>
      <c r="F89" s="21"/>
      <c r="G89" s="21"/>
      <c r="H89" s="21"/>
      <c r="I89" s="21"/>
      <c r="J89" s="21"/>
      <c r="K89" s="21"/>
      <c r="L89" s="21"/>
      <c r="M89" s="21"/>
      <c r="N89" s="21"/>
      <c r="O89" s="21"/>
      <c r="P89" s="21"/>
      <c r="Q89" s="21"/>
      <c r="R89" s="26">
        <v>23.0</v>
      </c>
      <c r="S89" s="21" t="s">
        <v>716</v>
      </c>
      <c r="T89" s="21" t="s">
        <v>717</v>
      </c>
      <c r="U89" s="21"/>
      <c r="V89" s="21"/>
      <c r="W89" s="21"/>
      <c r="X89" s="21"/>
      <c r="Y89" s="21"/>
      <c r="Z89" s="21"/>
      <c r="AA89" s="21"/>
      <c r="AB89" s="21"/>
      <c r="AC89" s="21"/>
      <c r="AD89" s="21"/>
    </row>
    <row r="90">
      <c r="A90" s="70" t="s">
        <v>446</v>
      </c>
      <c r="B90" s="21"/>
      <c r="C90" s="21"/>
      <c r="D90" s="21"/>
      <c r="E90" s="21"/>
      <c r="F90" s="21"/>
      <c r="G90" s="21"/>
      <c r="H90" s="21"/>
      <c r="I90" s="21"/>
      <c r="J90" s="21"/>
      <c r="K90" s="21"/>
      <c r="L90" s="21"/>
      <c r="M90" s="21"/>
      <c r="N90" s="21"/>
      <c r="O90" s="21"/>
      <c r="P90" s="21"/>
      <c r="Q90" s="21"/>
      <c r="R90" s="26">
        <v>24.0</v>
      </c>
      <c r="S90" s="21" t="s">
        <v>718</v>
      </c>
      <c r="T90" s="21" t="s">
        <v>719</v>
      </c>
      <c r="U90" s="21"/>
      <c r="V90" s="21"/>
      <c r="W90" s="21"/>
      <c r="X90" s="21"/>
      <c r="Y90" s="21"/>
      <c r="Z90" s="21"/>
      <c r="AA90" s="21"/>
      <c r="AB90" s="21"/>
      <c r="AC90" s="21"/>
      <c r="AD90" s="21"/>
    </row>
    <row r="91">
      <c r="A91" s="70" t="s">
        <v>446</v>
      </c>
      <c r="B91" s="21"/>
      <c r="C91" s="21"/>
      <c r="D91" s="21"/>
      <c r="E91" s="21"/>
      <c r="F91" s="21"/>
      <c r="G91" s="21"/>
      <c r="H91" s="21"/>
      <c r="I91" s="21"/>
      <c r="J91" s="21"/>
      <c r="K91" s="21"/>
      <c r="L91" s="21"/>
      <c r="M91" s="21"/>
      <c r="N91" s="21"/>
      <c r="O91" s="21"/>
      <c r="P91" s="21"/>
      <c r="Q91" s="21"/>
      <c r="R91" s="26">
        <v>25.0</v>
      </c>
      <c r="S91" s="21" t="s">
        <v>720</v>
      </c>
      <c r="T91" s="21" t="s">
        <v>721</v>
      </c>
      <c r="U91" s="21"/>
      <c r="V91" s="21"/>
      <c r="W91" s="21"/>
      <c r="X91" s="21"/>
      <c r="Y91" s="21"/>
      <c r="Z91" s="21"/>
      <c r="AA91" s="21"/>
      <c r="AB91" s="21"/>
      <c r="AC91" s="21"/>
      <c r="AD91" s="21"/>
    </row>
    <row r="92">
      <c r="A92" s="70" t="s">
        <v>446</v>
      </c>
      <c r="B92" s="21"/>
      <c r="C92" s="21"/>
      <c r="D92" s="21"/>
      <c r="E92" s="21"/>
      <c r="F92" s="21"/>
      <c r="G92" s="21"/>
      <c r="H92" s="21"/>
      <c r="I92" s="21"/>
      <c r="J92" s="21"/>
      <c r="K92" s="21"/>
      <c r="L92" s="21"/>
      <c r="M92" s="21"/>
      <c r="N92" s="21"/>
      <c r="O92" s="21"/>
      <c r="P92" s="21"/>
      <c r="Q92" s="21"/>
      <c r="R92" s="26">
        <v>26.0</v>
      </c>
      <c r="S92" s="21" t="s">
        <v>722</v>
      </c>
      <c r="T92" s="21" t="s">
        <v>723</v>
      </c>
      <c r="U92" s="21"/>
      <c r="V92" s="21"/>
      <c r="W92" s="21"/>
      <c r="X92" s="21"/>
      <c r="Y92" s="21"/>
      <c r="Z92" s="21"/>
      <c r="AA92" s="21"/>
      <c r="AB92" s="21"/>
      <c r="AC92" s="21"/>
      <c r="AD92" s="21"/>
    </row>
    <row r="93">
      <c r="A93" s="70" t="s">
        <v>446</v>
      </c>
      <c r="B93" s="21"/>
      <c r="C93" s="21"/>
      <c r="D93" s="21"/>
      <c r="E93" s="21"/>
      <c r="F93" s="21"/>
      <c r="G93" s="21"/>
      <c r="H93" s="21"/>
      <c r="I93" s="21"/>
      <c r="J93" s="21"/>
      <c r="K93" s="21"/>
      <c r="L93" s="21"/>
      <c r="M93" s="21"/>
      <c r="N93" s="21"/>
      <c r="O93" s="21"/>
      <c r="P93" s="21"/>
      <c r="Q93" s="21"/>
      <c r="R93" s="26">
        <v>27.0</v>
      </c>
      <c r="S93" s="21" t="s">
        <v>724</v>
      </c>
      <c r="T93" s="21" t="s">
        <v>725</v>
      </c>
      <c r="U93" s="21"/>
      <c r="V93" s="21"/>
      <c r="W93" s="21"/>
      <c r="X93" s="21"/>
      <c r="Y93" s="21"/>
      <c r="Z93" s="21"/>
      <c r="AA93" s="21"/>
      <c r="AB93" s="21"/>
      <c r="AC93" s="21"/>
      <c r="AD93" s="21"/>
    </row>
    <row r="94">
      <c r="A94" s="70" t="s">
        <v>446</v>
      </c>
      <c r="B94" s="21"/>
      <c r="C94" s="21"/>
      <c r="D94" s="21"/>
      <c r="E94" s="21"/>
      <c r="F94" s="21"/>
      <c r="G94" s="21"/>
      <c r="H94" s="21"/>
      <c r="I94" s="21"/>
      <c r="J94" s="21"/>
      <c r="K94" s="21"/>
      <c r="L94" s="21"/>
      <c r="M94" s="21"/>
      <c r="N94" s="21"/>
      <c r="O94" s="21"/>
      <c r="P94" s="21"/>
      <c r="Q94" s="21"/>
      <c r="R94" s="26">
        <v>28.0</v>
      </c>
      <c r="S94" s="21" t="s">
        <v>726</v>
      </c>
      <c r="T94" s="21" t="s">
        <v>727</v>
      </c>
      <c r="U94" s="21"/>
      <c r="V94" s="21"/>
      <c r="W94" s="21"/>
      <c r="X94" s="21"/>
      <c r="Y94" s="21"/>
      <c r="Z94" s="21"/>
      <c r="AA94" s="21"/>
      <c r="AB94" s="21"/>
      <c r="AC94" s="21"/>
      <c r="AD94" s="21"/>
    </row>
    <row r="95">
      <c r="A95" s="70" t="s">
        <v>446</v>
      </c>
      <c r="B95" s="21"/>
      <c r="C95" s="21"/>
      <c r="D95" s="21"/>
      <c r="E95" s="21"/>
      <c r="F95" s="21"/>
      <c r="G95" s="21"/>
      <c r="H95" s="21"/>
      <c r="I95" s="21"/>
      <c r="J95" s="21"/>
      <c r="K95" s="21"/>
      <c r="L95" s="21"/>
      <c r="M95" s="21"/>
      <c r="N95" s="21"/>
      <c r="O95" s="21"/>
      <c r="P95" s="21"/>
      <c r="Q95" s="21"/>
      <c r="R95" s="26">
        <v>29.0</v>
      </c>
      <c r="S95" s="21" t="s">
        <v>728</v>
      </c>
      <c r="T95" s="21" t="s">
        <v>729</v>
      </c>
      <c r="U95" s="21"/>
      <c r="V95" s="21"/>
      <c r="W95" s="21"/>
      <c r="X95" s="21"/>
      <c r="Y95" s="21"/>
      <c r="Z95" s="21"/>
      <c r="AA95" s="21"/>
      <c r="AB95" s="21"/>
      <c r="AC95" s="21"/>
      <c r="AD95" s="21"/>
    </row>
    <row r="96">
      <c r="A96" s="70" t="s">
        <v>446</v>
      </c>
      <c r="B96" s="21"/>
      <c r="C96" s="21"/>
      <c r="D96" s="21"/>
      <c r="E96" s="21"/>
      <c r="F96" s="21"/>
      <c r="G96" s="21"/>
      <c r="H96" s="21"/>
      <c r="I96" s="21"/>
      <c r="J96" s="21"/>
      <c r="K96" s="21"/>
      <c r="L96" s="21"/>
      <c r="M96" s="21"/>
      <c r="N96" s="21"/>
      <c r="O96" s="21"/>
      <c r="P96" s="21"/>
      <c r="Q96" s="21"/>
      <c r="R96" s="26">
        <v>30.0</v>
      </c>
      <c r="S96" s="21" t="s">
        <v>730</v>
      </c>
      <c r="T96" s="21" t="s">
        <v>731</v>
      </c>
      <c r="U96" s="21"/>
      <c r="V96" s="21"/>
      <c r="W96" s="21"/>
      <c r="X96" s="21"/>
      <c r="Y96" s="21"/>
      <c r="Z96" s="21"/>
      <c r="AA96" s="21"/>
      <c r="AB96" s="21"/>
      <c r="AC96" s="21"/>
      <c r="AD96" s="21"/>
    </row>
    <row r="97">
      <c r="A97" s="70" t="s">
        <v>446</v>
      </c>
      <c r="B97" s="21"/>
      <c r="C97" s="21"/>
      <c r="D97" s="21"/>
      <c r="E97" s="21"/>
      <c r="F97" s="21"/>
      <c r="G97" s="21"/>
      <c r="H97" s="21"/>
      <c r="I97" s="21"/>
      <c r="J97" s="21"/>
      <c r="K97" s="21"/>
      <c r="L97" s="21"/>
      <c r="M97" s="21"/>
      <c r="N97" s="21"/>
      <c r="O97" s="21"/>
      <c r="P97" s="21"/>
      <c r="Q97" s="21"/>
      <c r="R97" s="26">
        <v>31.0</v>
      </c>
      <c r="S97" s="21" t="s">
        <v>732</v>
      </c>
      <c r="T97" s="21" t="s">
        <v>733</v>
      </c>
      <c r="U97" s="21"/>
      <c r="V97" s="21"/>
      <c r="W97" s="21"/>
      <c r="X97" s="21"/>
      <c r="Y97" s="21"/>
      <c r="Z97" s="21"/>
      <c r="AA97" s="21"/>
      <c r="AB97" s="21"/>
      <c r="AC97" s="21"/>
      <c r="AD97" s="21"/>
    </row>
    <row r="98">
      <c r="A98" s="70" t="s">
        <v>446</v>
      </c>
      <c r="B98" s="21"/>
      <c r="C98" s="21"/>
      <c r="D98" s="21"/>
      <c r="E98" s="21"/>
      <c r="F98" s="21"/>
      <c r="G98" s="21"/>
      <c r="H98" s="21"/>
      <c r="I98" s="21"/>
      <c r="J98" s="21"/>
      <c r="K98" s="21"/>
      <c r="L98" s="21"/>
      <c r="M98" s="21"/>
      <c r="N98" s="21"/>
      <c r="O98" s="21"/>
      <c r="P98" s="21"/>
      <c r="Q98" s="21"/>
      <c r="R98" s="26">
        <v>32.0</v>
      </c>
      <c r="S98" s="21" t="s">
        <v>734</v>
      </c>
      <c r="T98" s="21" t="s">
        <v>735</v>
      </c>
      <c r="U98" s="21"/>
      <c r="V98" s="21"/>
      <c r="W98" s="21"/>
      <c r="X98" s="21"/>
      <c r="Y98" s="21"/>
      <c r="Z98" s="21"/>
      <c r="AA98" s="21"/>
      <c r="AB98" s="21"/>
      <c r="AC98" s="21"/>
      <c r="AD98" s="21"/>
    </row>
    <row r="99">
      <c r="A99" s="70" t="s">
        <v>446</v>
      </c>
      <c r="B99" s="21"/>
      <c r="C99" s="21"/>
      <c r="D99" s="21"/>
      <c r="E99" s="21"/>
      <c r="F99" s="21"/>
      <c r="G99" s="21"/>
      <c r="H99" s="21"/>
      <c r="I99" s="21"/>
      <c r="J99" s="21"/>
      <c r="K99" s="21"/>
      <c r="L99" s="21"/>
      <c r="M99" s="21"/>
      <c r="N99" s="21"/>
      <c r="O99" s="21"/>
      <c r="P99" s="21"/>
      <c r="Q99" s="21"/>
      <c r="R99" s="26">
        <v>33.0</v>
      </c>
      <c r="S99" s="21" t="s">
        <v>736</v>
      </c>
      <c r="T99" s="21" t="s">
        <v>737</v>
      </c>
      <c r="U99" s="21"/>
      <c r="V99" s="21"/>
      <c r="W99" s="21"/>
      <c r="X99" s="21"/>
      <c r="Y99" s="21"/>
      <c r="Z99" s="21"/>
      <c r="AA99" s="21"/>
      <c r="AB99" s="21"/>
      <c r="AC99" s="21"/>
      <c r="AD99" s="21"/>
    </row>
    <row r="100">
      <c r="A100" s="70" t="s">
        <v>446</v>
      </c>
      <c r="B100" s="21"/>
      <c r="C100" s="21"/>
      <c r="D100" s="21"/>
      <c r="E100" s="21"/>
      <c r="F100" s="21"/>
      <c r="G100" s="21"/>
      <c r="H100" s="21"/>
      <c r="I100" s="21"/>
      <c r="J100" s="21"/>
      <c r="K100" s="21"/>
      <c r="L100" s="21"/>
      <c r="M100" s="21"/>
      <c r="N100" s="21"/>
      <c r="O100" s="21"/>
      <c r="P100" s="21"/>
      <c r="Q100" s="21"/>
      <c r="R100" s="26">
        <v>34.0</v>
      </c>
      <c r="S100" s="21" t="s">
        <v>738</v>
      </c>
      <c r="T100" s="21" t="s">
        <v>739</v>
      </c>
      <c r="U100" s="21"/>
      <c r="V100" s="21"/>
      <c r="W100" s="21"/>
      <c r="X100" s="21"/>
      <c r="Y100" s="21"/>
      <c r="Z100" s="21"/>
      <c r="AA100" s="21"/>
      <c r="AB100" s="21"/>
      <c r="AC100" s="21"/>
      <c r="AD100" s="21"/>
    </row>
    <row r="101">
      <c r="A101" s="70" t="s">
        <v>446</v>
      </c>
      <c r="B101" s="21"/>
      <c r="C101" s="21"/>
      <c r="D101" s="21"/>
      <c r="E101" s="21"/>
      <c r="F101" s="21"/>
      <c r="G101" s="21"/>
      <c r="H101" s="21"/>
      <c r="I101" s="21"/>
      <c r="J101" s="21"/>
      <c r="K101" s="21"/>
      <c r="L101" s="21"/>
      <c r="M101" s="21"/>
      <c r="N101" s="21"/>
      <c r="O101" s="21"/>
      <c r="P101" s="21"/>
      <c r="Q101" s="21"/>
      <c r="R101" s="26">
        <v>35.0</v>
      </c>
      <c r="S101" s="21" t="s">
        <v>740</v>
      </c>
      <c r="T101" s="21" t="s">
        <v>741</v>
      </c>
      <c r="U101" s="21"/>
      <c r="V101" s="21"/>
      <c r="W101" s="21"/>
      <c r="X101" s="21"/>
      <c r="Y101" s="21"/>
      <c r="Z101" s="21"/>
      <c r="AA101" s="21"/>
      <c r="AB101" s="21"/>
      <c r="AC101" s="21"/>
      <c r="AD101" s="21"/>
    </row>
    <row r="102">
      <c r="A102" s="70" t="s">
        <v>446</v>
      </c>
      <c r="B102" s="21"/>
      <c r="C102" s="21"/>
      <c r="D102" s="21"/>
      <c r="E102" s="21"/>
      <c r="F102" s="21"/>
      <c r="G102" s="21"/>
      <c r="H102" s="21"/>
      <c r="I102" s="21"/>
      <c r="J102" s="21"/>
      <c r="K102" s="21"/>
      <c r="L102" s="21"/>
      <c r="M102" s="21"/>
      <c r="N102" s="21"/>
      <c r="O102" s="21"/>
      <c r="P102" s="21"/>
      <c r="Q102" s="21"/>
      <c r="R102" s="26">
        <v>36.0</v>
      </c>
      <c r="S102" s="21" t="s">
        <v>742</v>
      </c>
      <c r="T102" s="21" t="s">
        <v>743</v>
      </c>
      <c r="U102" s="21"/>
      <c r="V102" s="21"/>
      <c r="W102" s="21"/>
      <c r="X102" s="21"/>
      <c r="Y102" s="21"/>
      <c r="Z102" s="21"/>
      <c r="AA102" s="21"/>
      <c r="AB102" s="21"/>
      <c r="AC102" s="21"/>
      <c r="AD102" s="21"/>
    </row>
    <row r="103">
      <c r="A103" s="70" t="s">
        <v>446</v>
      </c>
      <c r="B103" s="21"/>
      <c r="C103" s="21"/>
      <c r="D103" s="21"/>
      <c r="E103" s="21"/>
      <c r="F103" s="21"/>
      <c r="G103" s="21"/>
      <c r="H103" s="21"/>
      <c r="I103" s="21"/>
      <c r="J103" s="21"/>
      <c r="K103" s="21"/>
      <c r="L103" s="21"/>
      <c r="M103" s="21"/>
      <c r="N103" s="21"/>
      <c r="O103" s="21"/>
      <c r="P103" s="21"/>
      <c r="Q103" s="21"/>
      <c r="R103" s="26">
        <v>37.0</v>
      </c>
      <c r="S103" s="21" t="s">
        <v>744</v>
      </c>
      <c r="T103" s="21" t="s">
        <v>745</v>
      </c>
      <c r="U103" s="21"/>
      <c r="V103" s="21"/>
      <c r="W103" s="21"/>
      <c r="X103" s="21"/>
      <c r="Y103" s="21"/>
      <c r="Z103" s="21"/>
      <c r="AA103" s="21"/>
      <c r="AB103" s="21"/>
      <c r="AC103" s="21"/>
      <c r="AD103" s="21"/>
    </row>
    <row r="104">
      <c r="A104" s="70" t="s">
        <v>446</v>
      </c>
      <c r="B104" s="21"/>
      <c r="C104" s="21"/>
      <c r="D104" s="21"/>
      <c r="E104" s="21"/>
      <c r="F104" s="21"/>
      <c r="G104" s="21"/>
      <c r="H104" s="21"/>
      <c r="I104" s="21"/>
      <c r="J104" s="21"/>
      <c r="K104" s="21"/>
      <c r="L104" s="21"/>
      <c r="M104" s="21"/>
      <c r="N104" s="21"/>
      <c r="O104" s="21"/>
      <c r="P104" s="21"/>
      <c r="Q104" s="21"/>
      <c r="R104" s="26">
        <v>38.0</v>
      </c>
      <c r="S104" s="21" t="s">
        <v>746</v>
      </c>
      <c r="T104" s="21" t="s">
        <v>747</v>
      </c>
      <c r="U104" s="21"/>
      <c r="V104" s="21"/>
      <c r="W104" s="21"/>
      <c r="X104" s="21"/>
      <c r="Y104" s="21"/>
      <c r="Z104" s="21"/>
      <c r="AA104" s="21"/>
      <c r="AB104" s="21"/>
      <c r="AC104" s="21"/>
      <c r="AD104" s="21"/>
    </row>
    <row r="105">
      <c r="A105" s="70" t="s">
        <v>446</v>
      </c>
      <c r="B105" s="21"/>
      <c r="C105" s="21"/>
      <c r="D105" s="21"/>
      <c r="E105" s="21"/>
      <c r="F105" s="21"/>
      <c r="G105" s="21"/>
      <c r="H105" s="21"/>
      <c r="I105" s="21"/>
      <c r="J105" s="21"/>
      <c r="K105" s="21"/>
      <c r="L105" s="21"/>
      <c r="M105" s="21"/>
      <c r="N105" s="21"/>
      <c r="O105" s="21"/>
      <c r="P105" s="21"/>
      <c r="Q105" s="21"/>
      <c r="R105" s="26">
        <v>39.0</v>
      </c>
      <c r="S105" s="21" t="s">
        <v>748</v>
      </c>
      <c r="T105" s="21" t="s">
        <v>749</v>
      </c>
      <c r="U105" s="21"/>
      <c r="V105" s="21"/>
      <c r="W105" s="21"/>
      <c r="X105" s="21"/>
      <c r="Y105" s="21"/>
      <c r="Z105" s="21"/>
      <c r="AA105" s="21"/>
      <c r="AB105" s="21"/>
      <c r="AC105" s="21"/>
      <c r="AD105" s="21"/>
    </row>
    <row r="106">
      <c r="A106" s="70" t="s">
        <v>446</v>
      </c>
      <c r="B106" s="21"/>
      <c r="C106" s="21"/>
      <c r="D106" s="21"/>
      <c r="E106" s="21"/>
      <c r="F106" s="21"/>
      <c r="G106" s="21"/>
      <c r="H106" s="21"/>
      <c r="I106" s="21"/>
      <c r="J106" s="21"/>
      <c r="K106" s="21"/>
      <c r="L106" s="21"/>
      <c r="M106" s="21"/>
      <c r="N106" s="21"/>
      <c r="O106" s="21"/>
      <c r="P106" s="21"/>
      <c r="Q106" s="21"/>
      <c r="R106" s="26">
        <v>40.0</v>
      </c>
      <c r="S106" s="21" t="s">
        <v>750</v>
      </c>
      <c r="T106" s="21" t="s">
        <v>751</v>
      </c>
      <c r="U106" s="21"/>
      <c r="V106" s="21"/>
      <c r="W106" s="21"/>
      <c r="X106" s="21"/>
      <c r="Y106" s="21"/>
      <c r="Z106" s="21"/>
      <c r="AA106" s="21"/>
      <c r="AB106" s="21"/>
      <c r="AC106" s="21"/>
      <c r="AD106" s="21"/>
    </row>
    <row r="107">
      <c r="A107" s="70" t="s">
        <v>446</v>
      </c>
      <c r="B107" s="21"/>
      <c r="C107" s="21"/>
      <c r="D107" s="21"/>
      <c r="E107" s="21"/>
      <c r="F107" s="21"/>
      <c r="G107" s="21"/>
      <c r="H107" s="21"/>
      <c r="I107" s="21"/>
      <c r="J107" s="21"/>
      <c r="K107" s="21"/>
      <c r="L107" s="21"/>
      <c r="M107" s="21"/>
      <c r="N107" s="21"/>
      <c r="O107" s="21"/>
      <c r="P107" s="21"/>
      <c r="Q107" s="21"/>
      <c r="R107" s="26">
        <v>41.0</v>
      </c>
      <c r="S107" s="21" t="s">
        <v>752</v>
      </c>
      <c r="T107" s="21" t="s">
        <v>753</v>
      </c>
      <c r="U107" s="21"/>
      <c r="V107" s="21"/>
      <c r="W107" s="21"/>
      <c r="X107" s="21"/>
      <c r="Y107" s="21"/>
      <c r="Z107" s="21"/>
      <c r="AA107" s="21"/>
      <c r="AB107" s="21"/>
      <c r="AC107" s="21"/>
      <c r="AD107" s="21"/>
    </row>
    <row r="108">
      <c r="A108" s="70" t="s">
        <v>446</v>
      </c>
      <c r="B108" s="21"/>
      <c r="C108" s="21"/>
      <c r="D108" s="21"/>
      <c r="E108" s="21"/>
      <c r="F108" s="21"/>
      <c r="G108" s="21"/>
      <c r="H108" s="21"/>
      <c r="I108" s="21"/>
      <c r="J108" s="21"/>
      <c r="K108" s="21"/>
      <c r="L108" s="21"/>
      <c r="M108" s="21"/>
      <c r="N108" s="21"/>
      <c r="O108" s="21"/>
      <c r="P108" s="21"/>
      <c r="Q108" s="21"/>
      <c r="R108" s="26">
        <v>42.0</v>
      </c>
      <c r="S108" s="21" t="s">
        <v>754</v>
      </c>
      <c r="T108" s="21" t="s">
        <v>755</v>
      </c>
      <c r="U108" s="21"/>
      <c r="V108" s="21"/>
      <c r="W108" s="21"/>
      <c r="X108" s="21"/>
      <c r="Y108" s="21"/>
      <c r="Z108" s="21"/>
      <c r="AA108" s="21"/>
      <c r="AB108" s="21"/>
      <c r="AC108" s="21"/>
      <c r="AD108" s="21"/>
    </row>
    <row r="109">
      <c r="A109" s="70" t="s">
        <v>446</v>
      </c>
      <c r="B109" s="21"/>
      <c r="C109" s="21"/>
      <c r="D109" s="21"/>
      <c r="E109" s="21"/>
      <c r="F109" s="21"/>
      <c r="G109" s="21"/>
      <c r="H109" s="21"/>
      <c r="I109" s="21"/>
      <c r="J109" s="21"/>
      <c r="K109" s="21"/>
      <c r="L109" s="21"/>
      <c r="M109" s="21"/>
      <c r="N109" s="21"/>
      <c r="O109" s="21"/>
      <c r="P109" s="21"/>
      <c r="Q109" s="21"/>
      <c r="R109" s="26">
        <v>43.0</v>
      </c>
      <c r="S109" s="21" t="s">
        <v>756</v>
      </c>
      <c r="T109" s="21" t="s">
        <v>757</v>
      </c>
      <c r="U109" s="21"/>
      <c r="V109" s="21"/>
      <c r="W109" s="21"/>
      <c r="X109" s="21"/>
      <c r="Y109" s="21"/>
      <c r="Z109" s="21"/>
      <c r="AA109" s="21"/>
      <c r="AB109" s="21"/>
      <c r="AC109" s="21"/>
      <c r="AD109" s="21"/>
    </row>
    <row r="110">
      <c r="A110" s="70" t="s">
        <v>446</v>
      </c>
      <c r="B110" s="21"/>
      <c r="C110" s="21"/>
      <c r="D110" s="21"/>
      <c r="E110" s="21"/>
      <c r="F110" s="21"/>
      <c r="G110" s="21"/>
      <c r="H110" s="21"/>
      <c r="I110" s="21"/>
      <c r="J110" s="21"/>
      <c r="K110" s="21"/>
      <c r="L110" s="21"/>
      <c r="M110" s="21"/>
      <c r="N110" s="21"/>
      <c r="O110" s="21"/>
      <c r="P110" s="21"/>
      <c r="Q110" s="21"/>
      <c r="R110" s="26">
        <v>44.0</v>
      </c>
      <c r="S110" s="21" t="s">
        <v>758</v>
      </c>
      <c r="T110" s="21" t="s">
        <v>759</v>
      </c>
      <c r="U110" s="21"/>
      <c r="V110" s="21"/>
      <c r="W110" s="21"/>
      <c r="X110" s="21"/>
      <c r="Y110" s="21"/>
      <c r="Z110" s="21"/>
      <c r="AA110" s="21"/>
      <c r="AB110" s="21"/>
      <c r="AC110" s="21"/>
      <c r="AD110" s="21"/>
    </row>
    <row r="111">
      <c r="A111" s="70" t="s">
        <v>446</v>
      </c>
      <c r="B111" s="21"/>
      <c r="C111" s="21"/>
      <c r="D111" s="21"/>
      <c r="E111" s="21"/>
      <c r="F111" s="21"/>
      <c r="G111" s="21"/>
      <c r="H111" s="21"/>
      <c r="I111" s="21"/>
      <c r="J111" s="21"/>
      <c r="K111" s="21"/>
      <c r="L111" s="21"/>
      <c r="M111" s="21"/>
      <c r="N111" s="21"/>
      <c r="O111" s="21"/>
      <c r="P111" s="21"/>
      <c r="Q111" s="21"/>
      <c r="R111" s="26">
        <v>45.0</v>
      </c>
      <c r="S111" s="21" t="s">
        <v>760</v>
      </c>
      <c r="T111" s="21" t="s">
        <v>761</v>
      </c>
      <c r="U111" s="21"/>
      <c r="V111" s="21"/>
      <c r="W111" s="21"/>
      <c r="X111" s="21"/>
      <c r="Y111" s="21"/>
      <c r="Z111" s="21"/>
      <c r="AA111" s="21"/>
      <c r="AB111" s="21"/>
      <c r="AC111" s="21"/>
      <c r="AD111" s="21"/>
    </row>
    <row r="112">
      <c r="A112" s="70" t="s">
        <v>446</v>
      </c>
      <c r="B112" s="21"/>
      <c r="C112" s="21"/>
      <c r="D112" s="21"/>
      <c r="E112" s="21"/>
      <c r="F112" s="21"/>
      <c r="G112" s="21"/>
      <c r="H112" s="21"/>
      <c r="I112" s="21"/>
      <c r="J112" s="21"/>
      <c r="K112" s="21"/>
      <c r="L112" s="21"/>
      <c r="M112" s="21"/>
      <c r="N112" s="21"/>
      <c r="O112" s="21"/>
      <c r="P112" s="21"/>
      <c r="Q112" s="21"/>
      <c r="R112" s="26">
        <v>46.0</v>
      </c>
      <c r="S112" s="21" t="s">
        <v>762</v>
      </c>
      <c r="T112" s="21" t="s">
        <v>763</v>
      </c>
      <c r="U112" s="21"/>
      <c r="V112" s="21"/>
      <c r="W112" s="21"/>
      <c r="X112" s="21"/>
      <c r="Y112" s="21"/>
      <c r="Z112" s="21"/>
      <c r="AA112" s="21"/>
      <c r="AB112" s="21"/>
      <c r="AC112" s="21"/>
      <c r="AD112" s="21"/>
    </row>
    <row r="113">
      <c r="A113" s="70" t="s">
        <v>446</v>
      </c>
      <c r="B113" s="21"/>
      <c r="C113" s="21"/>
      <c r="D113" s="21"/>
      <c r="E113" s="21"/>
      <c r="F113" s="21"/>
      <c r="G113" s="21"/>
      <c r="H113" s="21"/>
      <c r="I113" s="21"/>
      <c r="J113" s="21"/>
      <c r="K113" s="21"/>
      <c r="L113" s="21"/>
      <c r="M113" s="21"/>
      <c r="N113" s="21"/>
      <c r="O113" s="21"/>
      <c r="P113" s="21"/>
      <c r="Q113" s="21"/>
      <c r="R113" s="26">
        <v>47.0</v>
      </c>
      <c r="S113" s="21" t="s">
        <v>764</v>
      </c>
      <c r="T113" s="21" t="s">
        <v>765</v>
      </c>
      <c r="U113" s="21"/>
      <c r="V113" s="21"/>
      <c r="W113" s="21"/>
      <c r="X113" s="21"/>
      <c r="Y113" s="21"/>
      <c r="Z113" s="21"/>
      <c r="AA113" s="21"/>
      <c r="AB113" s="21"/>
      <c r="AC113" s="21"/>
      <c r="AD113" s="21"/>
    </row>
    <row r="114">
      <c r="A114" s="70" t="s">
        <v>446</v>
      </c>
      <c r="B114" s="21"/>
      <c r="C114" s="21"/>
      <c r="D114" s="21"/>
      <c r="E114" s="21"/>
      <c r="F114" s="21"/>
      <c r="G114" s="21"/>
      <c r="H114" s="21"/>
      <c r="I114" s="21"/>
      <c r="J114" s="21"/>
      <c r="K114" s="21"/>
      <c r="L114" s="21"/>
      <c r="M114" s="21"/>
      <c r="N114" s="21"/>
      <c r="O114" s="21"/>
      <c r="P114" s="21"/>
      <c r="Q114" s="21"/>
      <c r="R114" s="26">
        <v>48.0</v>
      </c>
      <c r="S114" s="21" t="s">
        <v>766</v>
      </c>
      <c r="T114" s="21" t="s">
        <v>767</v>
      </c>
      <c r="U114" s="21"/>
      <c r="V114" s="21"/>
      <c r="W114" s="21"/>
      <c r="X114" s="21"/>
      <c r="Y114" s="21"/>
      <c r="Z114" s="21"/>
      <c r="AA114" s="21"/>
      <c r="AB114" s="21"/>
      <c r="AC114" s="21"/>
      <c r="AD114" s="21"/>
    </row>
    <row r="115">
      <c r="A115" s="70" t="s">
        <v>446</v>
      </c>
      <c r="B115" s="21"/>
      <c r="C115" s="21"/>
      <c r="D115" s="21"/>
      <c r="E115" s="21"/>
      <c r="F115" s="21"/>
      <c r="G115" s="21"/>
      <c r="H115" s="21"/>
      <c r="I115" s="21"/>
      <c r="J115" s="21"/>
      <c r="K115" s="21"/>
      <c r="L115" s="21"/>
      <c r="M115" s="21"/>
      <c r="N115" s="21"/>
      <c r="O115" s="21"/>
      <c r="P115" s="21"/>
      <c r="Q115" s="21"/>
      <c r="R115" s="26">
        <v>49.0</v>
      </c>
      <c r="S115" s="21" t="s">
        <v>768</v>
      </c>
      <c r="T115" s="21" t="s">
        <v>769</v>
      </c>
      <c r="U115" s="21"/>
      <c r="V115" s="21"/>
      <c r="W115" s="21"/>
      <c r="X115" s="21"/>
      <c r="Y115" s="21"/>
      <c r="Z115" s="21"/>
      <c r="AA115" s="21"/>
      <c r="AB115" s="21"/>
      <c r="AC115" s="21"/>
      <c r="AD115" s="21"/>
    </row>
    <row r="116">
      <c r="A116" s="70" t="s">
        <v>446</v>
      </c>
      <c r="B116" s="21"/>
      <c r="C116" s="21"/>
      <c r="D116" s="21"/>
      <c r="E116" s="21"/>
      <c r="F116" s="21"/>
      <c r="G116" s="21"/>
      <c r="H116" s="21"/>
      <c r="I116" s="21"/>
      <c r="J116" s="21"/>
      <c r="K116" s="21"/>
      <c r="L116" s="21"/>
      <c r="M116" s="21"/>
      <c r="N116" s="21"/>
      <c r="O116" s="21"/>
      <c r="P116" s="21"/>
      <c r="Q116" s="21"/>
      <c r="R116" s="26">
        <v>50.0</v>
      </c>
      <c r="S116" s="21" t="s">
        <v>770</v>
      </c>
      <c r="T116" s="21" t="s">
        <v>771</v>
      </c>
      <c r="U116" s="21"/>
      <c r="V116" s="21"/>
      <c r="W116" s="21"/>
      <c r="X116" s="21"/>
      <c r="Y116" s="21"/>
      <c r="Z116" s="21"/>
      <c r="AA116" s="21"/>
      <c r="AB116" s="21"/>
      <c r="AC116" s="21"/>
      <c r="AD116" s="21"/>
    </row>
    <row r="117">
      <c r="A117" s="70" t="s">
        <v>446</v>
      </c>
      <c r="B117" s="21"/>
      <c r="C117" s="21"/>
      <c r="D117" s="21"/>
      <c r="E117" s="21"/>
      <c r="F117" s="21"/>
      <c r="G117" s="21"/>
      <c r="H117" s="21"/>
      <c r="I117" s="21"/>
      <c r="J117" s="21"/>
      <c r="K117" s="21"/>
      <c r="L117" s="21"/>
      <c r="M117" s="21"/>
      <c r="N117" s="21"/>
      <c r="O117" s="21"/>
      <c r="P117" s="21"/>
      <c r="Q117" s="21"/>
      <c r="R117" s="26">
        <v>51.0</v>
      </c>
      <c r="S117" s="21" t="s">
        <v>772</v>
      </c>
      <c r="T117" s="21" t="s">
        <v>773</v>
      </c>
      <c r="U117" s="21"/>
      <c r="V117" s="21"/>
      <c r="W117" s="21"/>
      <c r="X117" s="21"/>
      <c r="Y117" s="21"/>
      <c r="Z117" s="21"/>
      <c r="AA117" s="21"/>
      <c r="AB117" s="21"/>
      <c r="AC117" s="21"/>
      <c r="AD117" s="21"/>
    </row>
    <row r="118">
      <c r="A118" s="70" t="s">
        <v>446</v>
      </c>
      <c r="B118" s="21"/>
      <c r="C118" s="21"/>
      <c r="D118" s="21"/>
      <c r="E118" s="21"/>
      <c r="F118" s="21"/>
      <c r="G118" s="21"/>
      <c r="H118" s="21"/>
      <c r="I118" s="21"/>
      <c r="J118" s="21"/>
      <c r="K118" s="21"/>
      <c r="L118" s="21"/>
      <c r="M118" s="21"/>
      <c r="N118" s="21"/>
      <c r="O118" s="21"/>
      <c r="P118" s="21"/>
      <c r="Q118" s="21"/>
      <c r="R118" s="26">
        <v>52.0</v>
      </c>
      <c r="S118" s="21" t="s">
        <v>774</v>
      </c>
      <c r="T118" s="21" t="s">
        <v>775</v>
      </c>
      <c r="U118" s="21"/>
      <c r="V118" s="21"/>
      <c r="W118" s="21"/>
      <c r="X118" s="21"/>
      <c r="Y118" s="21"/>
      <c r="Z118" s="21"/>
      <c r="AA118" s="21"/>
      <c r="AB118" s="21"/>
      <c r="AC118" s="21"/>
      <c r="AD118" s="21"/>
    </row>
    <row r="119">
      <c r="A119" s="70" t="s">
        <v>446</v>
      </c>
      <c r="B119" s="21"/>
      <c r="C119" s="21"/>
      <c r="D119" s="21"/>
      <c r="E119" s="21"/>
      <c r="F119" s="21"/>
      <c r="G119" s="21"/>
      <c r="H119" s="21"/>
      <c r="I119" s="21"/>
      <c r="J119" s="21"/>
      <c r="K119" s="21"/>
      <c r="L119" s="21"/>
      <c r="M119" s="21"/>
      <c r="N119" s="21"/>
      <c r="O119" s="21"/>
      <c r="P119" s="21"/>
      <c r="Q119" s="21"/>
      <c r="R119" s="26">
        <v>53.0</v>
      </c>
      <c r="S119" s="21" t="s">
        <v>776</v>
      </c>
      <c r="T119" s="21" t="s">
        <v>777</v>
      </c>
      <c r="U119" s="21"/>
      <c r="V119" s="21"/>
      <c r="W119" s="21"/>
      <c r="X119" s="21"/>
      <c r="Y119" s="21"/>
      <c r="Z119" s="21"/>
      <c r="AA119" s="21"/>
      <c r="AB119" s="21"/>
      <c r="AC119" s="21"/>
      <c r="AD119" s="21"/>
    </row>
    <row r="120">
      <c r="A120" s="70" t="s">
        <v>446</v>
      </c>
      <c r="B120" s="21"/>
      <c r="C120" s="21"/>
      <c r="D120" s="21"/>
      <c r="E120" s="21"/>
      <c r="F120" s="21"/>
      <c r="G120" s="21"/>
      <c r="H120" s="21"/>
      <c r="I120" s="21"/>
      <c r="J120" s="21"/>
      <c r="K120" s="21"/>
      <c r="L120" s="21"/>
      <c r="M120" s="21"/>
      <c r="N120" s="21"/>
      <c r="O120" s="21"/>
      <c r="P120" s="21"/>
      <c r="Q120" s="21"/>
      <c r="R120" s="26">
        <v>54.0</v>
      </c>
      <c r="S120" s="21" t="s">
        <v>778</v>
      </c>
      <c r="T120" s="21" t="s">
        <v>779</v>
      </c>
      <c r="U120" s="21"/>
      <c r="V120" s="21"/>
      <c r="W120" s="21"/>
      <c r="X120" s="21"/>
      <c r="Y120" s="21"/>
      <c r="Z120" s="21"/>
      <c r="AA120" s="21"/>
      <c r="AB120" s="21"/>
      <c r="AC120" s="21"/>
      <c r="AD120" s="21"/>
    </row>
    <row r="121">
      <c r="A121" s="70" t="s">
        <v>446</v>
      </c>
      <c r="B121" s="21"/>
      <c r="C121" s="21"/>
      <c r="D121" s="21"/>
      <c r="E121" s="21"/>
      <c r="F121" s="21"/>
      <c r="G121" s="21"/>
      <c r="H121" s="21"/>
      <c r="I121" s="21"/>
      <c r="J121" s="21"/>
      <c r="K121" s="21"/>
      <c r="L121" s="21"/>
      <c r="M121" s="21"/>
      <c r="N121" s="21"/>
      <c r="O121" s="21"/>
      <c r="P121" s="21"/>
      <c r="Q121" s="21"/>
      <c r="R121" s="26">
        <v>55.0</v>
      </c>
      <c r="S121" s="21" t="s">
        <v>780</v>
      </c>
      <c r="T121" s="21" t="s">
        <v>781</v>
      </c>
      <c r="U121" s="21"/>
      <c r="V121" s="21"/>
      <c r="W121" s="21"/>
      <c r="X121" s="21"/>
      <c r="Y121" s="21"/>
      <c r="Z121" s="21"/>
      <c r="AA121" s="21"/>
      <c r="AB121" s="21"/>
      <c r="AC121" s="21"/>
      <c r="AD121" s="21"/>
    </row>
    <row r="122">
      <c r="A122" s="70" t="s">
        <v>446</v>
      </c>
      <c r="B122" s="21"/>
      <c r="C122" s="21"/>
      <c r="D122" s="21"/>
      <c r="E122" s="21"/>
      <c r="F122" s="21"/>
      <c r="G122" s="21"/>
      <c r="H122" s="21"/>
      <c r="I122" s="21"/>
      <c r="J122" s="21"/>
      <c r="K122" s="21"/>
      <c r="L122" s="21"/>
      <c r="M122" s="21"/>
      <c r="N122" s="21"/>
      <c r="O122" s="21"/>
      <c r="P122" s="21"/>
      <c r="Q122" s="21"/>
      <c r="R122" s="26">
        <v>56.0</v>
      </c>
      <c r="S122" s="21" t="s">
        <v>782</v>
      </c>
      <c r="T122" s="21" t="s">
        <v>783</v>
      </c>
      <c r="U122" s="21"/>
      <c r="V122" s="21"/>
      <c r="W122" s="21"/>
      <c r="X122" s="21"/>
      <c r="Y122" s="21"/>
      <c r="Z122" s="21"/>
      <c r="AA122" s="21"/>
      <c r="AB122" s="21"/>
      <c r="AC122" s="21"/>
      <c r="AD122" s="21"/>
    </row>
    <row r="123">
      <c r="A123" s="70" t="s">
        <v>446</v>
      </c>
      <c r="B123" s="21"/>
      <c r="C123" s="21"/>
      <c r="D123" s="21"/>
      <c r="E123" s="21"/>
      <c r="F123" s="21"/>
      <c r="G123" s="21"/>
      <c r="H123" s="21"/>
      <c r="I123" s="21"/>
      <c r="J123" s="21"/>
      <c r="K123" s="21"/>
      <c r="L123" s="21"/>
      <c r="M123" s="21"/>
      <c r="N123" s="21"/>
      <c r="O123" s="21"/>
      <c r="P123" s="21"/>
      <c r="Q123" s="21"/>
      <c r="R123" s="26">
        <v>57.0</v>
      </c>
      <c r="S123" s="21" t="s">
        <v>784</v>
      </c>
      <c r="T123" s="21" t="s">
        <v>785</v>
      </c>
      <c r="U123" s="21"/>
      <c r="V123" s="21"/>
      <c r="W123" s="21"/>
      <c r="X123" s="21"/>
      <c r="Y123" s="21"/>
      <c r="Z123" s="21"/>
      <c r="AA123" s="21"/>
      <c r="AB123" s="21"/>
      <c r="AC123" s="21"/>
      <c r="AD123" s="21"/>
    </row>
    <row r="124">
      <c r="A124" s="70" t="s">
        <v>446</v>
      </c>
      <c r="B124" s="21"/>
      <c r="C124" s="21"/>
      <c r="D124" s="21"/>
      <c r="E124" s="21"/>
      <c r="F124" s="21"/>
      <c r="G124" s="21"/>
      <c r="H124" s="21"/>
      <c r="I124" s="21"/>
      <c r="J124" s="21"/>
      <c r="K124" s="21"/>
      <c r="L124" s="21"/>
      <c r="M124" s="21"/>
      <c r="N124" s="21"/>
      <c r="O124" s="21"/>
      <c r="P124" s="21"/>
      <c r="Q124" s="21"/>
      <c r="R124" s="26">
        <v>58.0</v>
      </c>
      <c r="S124" s="21" t="s">
        <v>786</v>
      </c>
      <c r="T124" s="21" t="s">
        <v>787</v>
      </c>
      <c r="U124" s="21"/>
      <c r="V124" s="21"/>
      <c r="W124" s="21"/>
      <c r="X124" s="21"/>
      <c r="Y124" s="21"/>
      <c r="Z124" s="21"/>
      <c r="AA124" s="21"/>
      <c r="AB124" s="21"/>
      <c r="AC124" s="21"/>
      <c r="AD124" s="21"/>
    </row>
    <row r="125">
      <c r="A125" s="70" t="s">
        <v>446</v>
      </c>
      <c r="B125" s="21"/>
      <c r="C125" s="21"/>
      <c r="D125" s="21"/>
      <c r="E125" s="21"/>
      <c r="F125" s="21"/>
      <c r="G125" s="21"/>
      <c r="H125" s="21"/>
      <c r="I125" s="21"/>
      <c r="J125" s="21"/>
      <c r="K125" s="21"/>
      <c r="L125" s="21"/>
      <c r="M125" s="21"/>
      <c r="N125" s="21"/>
      <c r="O125" s="21"/>
      <c r="P125" s="21"/>
      <c r="Q125" s="21"/>
      <c r="R125" s="26">
        <v>59.0</v>
      </c>
      <c r="S125" s="21" t="s">
        <v>788</v>
      </c>
      <c r="T125" s="21" t="s">
        <v>789</v>
      </c>
      <c r="U125" s="21"/>
      <c r="V125" s="21"/>
      <c r="W125" s="21"/>
      <c r="X125" s="21"/>
      <c r="Y125" s="21"/>
      <c r="Z125" s="21"/>
      <c r="AA125" s="21"/>
      <c r="AB125" s="21"/>
      <c r="AC125" s="21"/>
      <c r="AD125" s="21"/>
    </row>
    <row r="126">
      <c r="A126" s="70" t="s">
        <v>446</v>
      </c>
      <c r="B126" s="21"/>
      <c r="C126" s="21"/>
      <c r="D126" s="21"/>
      <c r="E126" s="21"/>
      <c r="F126" s="21"/>
      <c r="G126" s="21"/>
      <c r="H126" s="21"/>
      <c r="I126" s="21"/>
      <c r="J126" s="21"/>
      <c r="K126" s="21"/>
      <c r="L126" s="21"/>
      <c r="M126" s="21"/>
      <c r="N126" s="21"/>
      <c r="O126" s="21"/>
      <c r="P126" s="21"/>
      <c r="Q126" s="21"/>
      <c r="R126" s="26">
        <v>60.0</v>
      </c>
      <c r="S126" s="21" t="s">
        <v>790</v>
      </c>
      <c r="T126" s="21" t="s">
        <v>791</v>
      </c>
      <c r="U126" s="21"/>
      <c r="V126" s="21"/>
      <c r="W126" s="21"/>
      <c r="X126" s="21"/>
      <c r="Y126" s="21"/>
      <c r="Z126" s="21"/>
      <c r="AA126" s="21"/>
      <c r="AB126" s="21"/>
      <c r="AC126" s="21"/>
      <c r="AD126" s="21"/>
    </row>
    <row r="127">
      <c r="A127" s="70" t="s">
        <v>446</v>
      </c>
      <c r="B127" s="21"/>
      <c r="C127" s="21"/>
      <c r="D127" s="21"/>
      <c r="E127" s="21"/>
      <c r="F127" s="21"/>
      <c r="G127" s="21"/>
      <c r="H127" s="21"/>
      <c r="I127" s="21"/>
      <c r="J127" s="21"/>
      <c r="K127" s="21"/>
      <c r="L127" s="21"/>
      <c r="M127" s="21"/>
      <c r="N127" s="21"/>
      <c r="O127" s="21"/>
      <c r="P127" s="21"/>
      <c r="Q127" s="21"/>
      <c r="R127" s="26">
        <v>61.0</v>
      </c>
      <c r="S127" s="21" t="s">
        <v>792</v>
      </c>
      <c r="T127" s="21" t="s">
        <v>793</v>
      </c>
      <c r="U127" s="21"/>
      <c r="V127" s="21"/>
      <c r="W127" s="21"/>
      <c r="X127" s="21"/>
      <c r="Y127" s="21"/>
      <c r="Z127" s="21"/>
      <c r="AA127" s="21"/>
      <c r="AB127" s="21"/>
      <c r="AC127" s="21"/>
      <c r="AD127" s="21"/>
    </row>
    <row r="128">
      <c r="A128" s="70" t="s">
        <v>446</v>
      </c>
      <c r="B128" s="21"/>
      <c r="C128" s="21"/>
      <c r="D128" s="21"/>
      <c r="E128" s="21"/>
      <c r="F128" s="21"/>
      <c r="G128" s="21"/>
      <c r="H128" s="21"/>
      <c r="I128" s="21"/>
      <c r="J128" s="21"/>
      <c r="K128" s="21"/>
      <c r="L128" s="21"/>
      <c r="M128" s="21"/>
      <c r="N128" s="21"/>
      <c r="O128" s="21"/>
      <c r="P128" s="21"/>
      <c r="Q128" s="21"/>
      <c r="R128" s="26">
        <v>62.0</v>
      </c>
      <c r="S128" s="21" t="s">
        <v>794</v>
      </c>
      <c r="T128" s="21" t="s">
        <v>795</v>
      </c>
      <c r="U128" s="21"/>
      <c r="V128" s="21"/>
      <c r="W128" s="21"/>
      <c r="X128" s="21"/>
      <c r="Y128" s="21"/>
      <c r="Z128" s="21"/>
      <c r="AA128" s="21"/>
      <c r="AB128" s="21"/>
      <c r="AC128" s="21"/>
      <c r="AD128" s="21"/>
    </row>
    <row r="129">
      <c r="A129" s="70" t="s">
        <v>446</v>
      </c>
      <c r="B129" s="21"/>
      <c r="C129" s="21"/>
      <c r="D129" s="21"/>
      <c r="E129" s="21"/>
      <c r="F129" s="21"/>
      <c r="G129" s="21"/>
      <c r="H129" s="21"/>
      <c r="I129" s="21"/>
      <c r="J129" s="21"/>
      <c r="K129" s="21"/>
      <c r="L129" s="21"/>
      <c r="M129" s="21"/>
      <c r="N129" s="21"/>
      <c r="O129" s="21"/>
      <c r="P129" s="21"/>
      <c r="Q129" s="21"/>
      <c r="R129" s="26">
        <v>63.0</v>
      </c>
      <c r="S129" s="21" t="s">
        <v>796</v>
      </c>
      <c r="T129" s="21" t="s">
        <v>797</v>
      </c>
      <c r="U129" s="21"/>
      <c r="V129" s="21"/>
      <c r="W129" s="21"/>
      <c r="X129" s="21"/>
      <c r="Y129" s="21"/>
      <c r="Z129" s="21"/>
      <c r="AA129" s="21"/>
      <c r="AB129" s="21"/>
      <c r="AC129" s="21"/>
      <c r="AD129" s="21"/>
    </row>
    <row r="130">
      <c r="A130" s="70" t="s">
        <v>446</v>
      </c>
      <c r="B130" s="21"/>
      <c r="C130" s="21"/>
      <c r="D130" s="21"/>
      <c r="E130" s="21"/>
      <c r="F130" s="21"/>
      <c r="G130" s="21"/>
      <c r="H130" s="21"/>
      <c r="I130" s="21"/>
      <c r="J130" s="21"/>
      <c r="K130" s="21"/>
      <c r="L130" s="21"/>
      <c r="M130" s="21"/>
      <c r="N130" s="21"/>
      <c r="O130" s="21"/>
      <c r="P130" s="21"/>
      <c r="Q130" s="21"/>
      <c r="R130" s="26">
        <v>64.0</v>
      </c>
      <c r="S130" s="21" t="s">
        <v>798</v>
      </c>
      <c r="T130" s="21" t="s">
        <v>799</v>
      </c>
      <c r="U130" s="21"/>
      <c r="V130" s="21"/>
      <c r="W130" s="21"/>
      <c r="X130" s="21"/>
      <c r="Y130" s="21"/>
      <c r="Z130" s="21"/>
      <c r="AA130" s="21"/>
      <c r="AB130" s="21"/>
      <c r="AC130" s="21"/>
      <c r="AD130" s="21"/>
    </row>
    <row r="131">
      <c r="A131" s="70" t="s">
        <v>446</v>
      </c>
      <c r="B131" s="21"/>
      <c r="C131" s="21"/>
      <c r="D131" s="21"/>
      <c r="E131" s="21"/>
      <c r="F131" s="21"/>
      <c r="G131" s="21"/>
      <c r="H131" s="21"/>
      <c r="I131" s="21"/>
      <c r="J131" s="21"/>
      <c r="K131" s="21"/>
      <c r="L131" s="21"/>
      <c r="M131" s="21"/>
      <c r="N131" s="21"/>
      <c r="O131" s="21"/>
      <c r="P131" s="21"/>
      <c r="Q131" s="21"/>
      <c r="R131" s="26">
        <v>65.0</v>
      </c>
      <c r="S131" s="21" t="s">
        <v>800</v>
      </c>
      <c r="T131" s="21" t="s">
        <v>801</v>
      </c>
      <c r="U131" s="21"/>
      <c r="V131" s="21"/>
      <c r="W131" s="21"/>
      <c r="X131" s="21"/>
      <c r="Y131" s="21"/>
      <c r="Z131" s="21"/>
      <c r="AA131" s="21"/>
      <c r="AB131" s="21"/>
      <c r="AC131" s="21"/>
      <c r="AD131" s="21"/>
    </row>
    <row r="132">
      <c r="A132" s="70" t="s">
        <v>446</v>
      </c>
      <c r="B132" s="21"/>
      <c r="C132" s="21"/>
      <c r="D132" s="21"/>
      <c r="E132" s="21"/>
      <c r="F132" s="21"/>
      <c r="G132" s="21"/>
      <c r="H132" s="21"/>
      <c r="I132" s="21"/>
      <c r="J132" s="21"/>
      <c r="K132" s="21"/>
      <c r="L132" s="21"/>
      <c r="M132" s="21"/>
      <c r="N132" s="21"/>
      <c r="O132" s="21"/>
      <c r="P132" s="21"/>
      <c r="Q132" s="21"/>
      <c r="R132" s="26">
        <v>66.0</v>
      </c>
      <c r="S132" s="21" t="s">
        <v>802</v>
      </c>
      <c r="T132" s="21" t="s">
        <v>803</v>
      </c>
      <c r="U132" s="21"/>
      <c r="V132" s="21"/>
      <c r="W132" s="21"/>
      <c r="X132" s="21"/>
      <c r="Y132" s="21"/>
      <c r="Z132" s="21"/>
      <c r="AA132" s="21"/>
      <c r="AB132" s="21"/>
      <c r="AC132" s="21"/>
      <c r="AD132" s="21"/>
    </row>
    <row r="133">
      <c r="A133" s="70" t="s">
        <v>446</v>
      </c>
      <c r="B133" s="21"/>
      <c r="C133" s="21"/>
      <c r="D133" s="21"/>
      <c r="E133" s="21"/>
      <c r="F133" s="21"/>
      <c r="G133" s="21"/>
      <c r="H133" s="21"/>
      <c r="I133" s="21"/>
      <c r="J133" s="21"/>
      <c r="K133" s="21"/>
      <c r="L133" s="21"/>
      <c r="M133" s="21"/>
      <c r="N133" s="21"/>
      <c r="O133" s="21"/>
      <c r="P133" s="21"/>
      <c r="Q133" s="21"/>
      <c r="R133" s="26">
        <v>67.0</v>
      </c>
      <c r="S133" s="21" t="s">
        <v>804</v>
      </c>
      <c r="T133" s="21" t="s">
        <v>805</v>
      </c>
      <c r="U133" s="21"/>
      <c r="V133" s="21"/>
      <c r="W133" s="21"/>
      <c r="X133" s="21"/>
      <c r="Y133" s="21"/>
      <c r="Z133" s="21"/>
      <c r="AA133" s="21"/>
      <c r="AB133" s="21"/>
      <c r="AC133" s="21"/>
      <c r="AD133" s="21"/>
    </row>
    <row r="134">
      <c r="A134" s="70" t="s">
        <v>446</v>
      </c>
      <c r="B134" s="21"/>
      <c r="C134" s="21"/>
      <c r="D134" s="21"/>
      <c r="E134" s="21"/>
      <c r="F134" s="21"/>
      <c r="G134" s="21"/>
      <c r="H134" s="21"/>
      <c r="I134" s="21"/>
      <c r="J134" s="21"/>
      <c r="K134" s="21"/>
      <c r="L134" s="21"/>
      <c r="M134" s="21"/>
      <c r="N134" s="21"/>
      <c r="O134" s="21"/>
      <c r="P134" s="21"/>
      <c r="Q134" s="21"/>
      <c r="R134" s="26">
        <v>68.0</v>
      </c>
      <c r="S134" s="21" t="s">
        <v>806</v>
      </c>
      <c r="T134" s="21" t="s">
        <v>807</v>
      </c>
      <c r="U134" s="21"/>
      <c r="V134" s="21"/>
      <c r="W134" s="21"/>
      <c r="X134" s="21"/>
      <c r="Y134" s="21"/>
      <c r="Z134" s="21"/>
      <c r="AA134" s="21"/>
      <c r="AB134" s="21"/>
      <c r="AC134" s="21"/>
      <c r="AD134" s="21"/>
    </row>
    <row r="135">
      <c r="A135" s="70" t="s">
        <v>446</v>
      </c>
      <c r="B135" s="21"/>
      <c r="C135" s="21"/>
      <c r="D135" s="21"/>
      <c r="E135" s="21"/>
      <c r="F135" s="21"/>
      <c r="G135" s="21"/>
      <c r="H135" s="21"/>
      <c r="I135" s="21"/>
      <c r="J135" s="21"/>
      <c r="K135" s="21"/>
      <c r="L135" s="21"/>
      <c r="M135" s="21"/>
      <c r="N135" s="21"/>
      <c r="O135" s="21"/>
      <c r="P135" s="21"/>
      <c r="Q135" s="21"/>
      <c r="R135" s="26">
        <v>69.0</v>
      </c>
      <c r="S135" s="21" t="s">
        <v>808</v>
      </c>
      <c r="T135" s="21" t="s">
        <v>809</v>
      </c>
      <c r="U135" s="21"/>
      <c r="V135" s="21"/>
      <c r="W135" s="21"/>
      <c r="X135" s="21"/>
      <c r="Y135" s="21"/>
      <c r="Z135" s="21"/>
      <c r="AA135" s="21"/>
      <c r="AB135" s="21"/>
      <c r="AC135" s="21"/>
      <c r="AD135" s="21"/>
    </row>
    <row r="136">
      <c r="A136" s="70" t="s">
        <v>446</v>
      </c>
      <c r="B136" s="21"/>
      <c r="C136" s="21"/>
      <c r="D136" s="21"/>
      <c r="E136" s="21"/>
      <c r="F136" s="21"/>
      <c r="G136" s="21"/>
      <c r="H136" s="21"/>
      <c r="I136" s="21"/>
      <c r="J136" s="21"/>
      <c r="K136" s="21"/>
      <c r="L136" s="21"/>
      <c r="M136" s="21"/>
      <c r="N136" s="21"/>
      <c r="O136" s="21"/>
      <c r="P136" s="21"/>
      <c r="Q136" s="21"/>
      <c r="R136" s="26">
        <v>70.0</v>
      </c>
      <c r="S136" s="21" t="s">
        <v>810</v>
      </c>
      <c r="T136" s="21" t="s">
        <v>811</v>
      </c>
      <c r="U136" s="21"/>
      <c r="V136" s="21"/>
      <c r="W136" s="21"/>
      <c r="X136" s="21"/>
      <c r="Y136" s="21"/>
      <c r="Z136" s="21"/>
      <c r="AA136" s="21"/>
      <c r="AB136" s="21"/>
      <c r="AC136" s="21"/>
      <c r="AD136" s="21"/>
    </row>
    <row r="137">
      <c r="A137" s="70" t="s">
        <v>446</v>
      </c>
      <c r="B137" s="21"/>
      <c r="C137" s="21"/>
      <c r="D137" s="21"/>
      <c r="E137" s="21"/>
      <c r="F137" s="21"/>
      <c r="G137" s="21"/>
      <c r="H137" s="21"/>
      <c r="I137" s="21"/>
      <c r="J137" s="21"/>
      <c r="K137" s="21"/>
      <c r="L137" s="21"/>
      <c r="M137" s="21"/>
      <c r="N137" s="21"/>
      <c r="O137" s="21"/>
      <c r="P137" s="21"/>
      <c r="Q137" s="21"/>
      <c r="R137" s="26">
        <v>71.0</v>
      </c>
      <c r="S137" s="21" t="s">
        <v>812</v>
      </c>
      <c r="T137" s="21" t="s">
        <v>813</v>
      </c>
      <c r="U137" s="21"/>
      <c r="V137" s="21"/>
      <c r="W137" s="21"/>
      <c r="X137" s="21"/>
      <c r="Y137" s="21"/>
      <c r="Z137" s="21"/>
      <c r="AA137" s="21"/>
      <c r="AB137" s="21"/>
      <c r="AC137" s="21"/>
      <c r="AD137" s="21"/>
    </row>
    <row r="138">
      <c r="A138" s="70" t="s">
        <v>446</v>
      </c>
      <c r="B138" s="21"/>
      <c r="C138" s="21"/>
      <c r="D138" s="21"/>
      <c r="E138" s="21"/>
      <c r="F138" s="21"/>
      <c r="G138" s="21"/>
      <c r="H138" s="21"/>
      <c r="I138" s="21"/>
      <c r="J138" s="21"/>
      <c r="K138" s="21"/>
      <c r="L138" s="21"/>
      <c r="M138" s="21"/>
      <c r="N138" s="21"/>
      <c r="O138" s="21"/>
      <c r="P138" s="21"/>
      <c r="Q138" s="21"/>
      <c r="R138" s="26">
        <v>72.0</v>
      </c>
      <c r="S138" s="21" t="s">
        <v>814</v>
      </c>
      <c r="T138" s="21" t="s">
        <v>815</v>
      </c>
      <c r="U138" s="21"/>
      <c r="V138" s="21"/>
      <c r="W138" s="21"/>
      <c r="X138" s="21"/>
      <c r="Y138" s="21"/>
      <c r="Z138" s="21"/>
      <c r="AA138" s="21"/>
      <c r="AB138" s="21"/>
      <c r="AC138" s="21"/>
      <c r="AD138" s="21"/>
    </row>
    <row r="139">
      <c r="A139" s="70" t="s">
        <v>446</v>
      </c>
      <c r="B139" s="21"/>
      <c r="C139" s="21"/>
      <c r="D139" s="21"/>
      <c r="E139" s="21"/>
      <c r="F139" s="21"/>
      <c r="G139" s="21"/>
      <c r="H139" s="21"/>
      <c r="I139" s="21"/>
      <c r="J139" s="21"/>
      <c r="K139" s="21"/>
      <c r="L139" s="21"/>
      <c r="M139" s="21"/>
      <c r="N139" s="21"/>
      <c r="O139" s="21"/>
      <c r="P139" s="21"/>
      <c r="Q139" s="21"/>
      <c r="R139" s="26">
        <v>73.0</v>
      </c>
      <c r="S139" s="21" t="s">
        <v>816</v>
      </c>
      <c r="T139" s="21" t="s">
        <v>817</v>
      </c>
      <c r="U139" s="21"/>
      <c r="V139" s="21"/>
      <c r="W139" s="21"/>
      <c r="X139" s="21"/>
      <c r="Y139" s="21"/>
      <c r="Z139" s="21"/>
      <c r="AA139" s="21"/>
      <c r="AB139" s="21"/>
      <c r="AC139" s="21"/>
      <c r="AD139" s="21"/>
    </row>
    <row r="140">
      <c r="A140" s="70" t="s">
        <v>446</v>
      </c>
      <c r="B140" s="21"/>
      <c r="C140" s="21"/>
      <c r="D140" s="21"/>
      <c r="E140" s="21"/>
      <c r="F140" s="21"/>
      <c r="G140" s="21"/>
      <c r="H140" s="21"/>
      <c r="I140" s="21"/>
      <c r="J140" s="21"/>
      <c r="K140" s="21"/>
      <c r="L140" s="21"/>
      <c r="M140" s="21"/>
      <c r="N140" s="21"/>
      <c r="O140" s="21"/>
      <c r="P140" s="21"/>
      <c r="Q140" s="21"/>
      <c r="R140" s="26">
        <v>74.0</v>
      </c>
      <c r="S140" s="21" t="s">
        <v>818</v>
      </c>
      <c r="T140" s="21" t="s">
        <v>819</v>
      </c>
      <c r="U140" s="21"/>
      <c r="V140" s="21"/>
      <c r="W140" s="21"/>
      <c r="X140" s="21"/>
      <c r="Y140" s="21"/>
      <c r="Z140" s="21"/>
      <c r="AA140" s="21"/>
      <c r="AB140" s="21"/>
      <c r="AC140" s="21"/>
      <c r="AD140" s="21"/>
    </row>
    <row r="141">
      <c r="A141" s="70" t="s">
        <v>446</v>
      </c>
      <c r="B141" s="21"/>
      <c r="C141" s="21"/>
      <c r="D141" s="21"/>
      <c r="E141" s="21"/>
      <c r="F141" s="21"/>
      <c r="G141" s="21"/>
      <c r="H141" s="21"/>
      <c r="I141" s="21"/>
      <c r="J141" s="21"/>
      <c r="K141" s="21"/>
      <c r="L141" s="21"/>
      <c r="M141" s="21"/>
      <c r="N141" s="21"/>
      <c r="O141" s="21"/>
      <c r="P141" s="21"/>
      <c r="Q141" s="21"/>
      <c r="R141" s="26">
        <v>75.0</v>
      </c>
      <c r="S141" s="21" t="s">
        <v>820</v>
      </c>
      <c r="T141" s="21" t="s">
        <v>821</v>
      </c>
      <c r="U141" s="21"/>
      <c r="V141" s="21"/>
      <c r="W141" s="21"/>
      <c r="X141" s="21"/>
      <c r="Y141" s="21"/>
      <c r="Z141" s="21"/>
      <c r="AA141" s="21"/>
      <c r="AB141" s="21"/>
      <c r="AC141" s="21"/>
      <c r="AD141" s="21"/>
    </row>
    <row r="142">
      <c r="A142" s="70" t="s">
        <v>446</v>
      </c>
      <c r="B142" s="21"/>
      <c r="C142" s="21"/>
      <c r="D142" s="21"/>
      <c r="E142" s="21"/>
      <c r="F142" s="21"/>
      <c r="G142" s="21"/>
      <c r="H142" s="21"/>
      <c r="I142" s="21"/>
      <c r="J142" s="21"/>
      <c r="K142" s="21"/>
      <c r="L142" s="21"/>
      <c r="M142" s="21"/>
      <c r="N142" s="21"/>
      <c r="O142" s="21"/>
      <c r="P142" s="21"/>
      <c r="Q142" s="21"/>
      <c r="R142" s="26">
        <v>76.0</v>
      </c>
      <c r="S142" s="21" t="s">
        <v>822</v>
      </c>
      <c r="T142" s="21" t="s">
        <v>823</v>
      </c>
      <c r="U142" s="21"/>
      <c r="V142" s="21"/>
      <c r="W142" s="21"/>
      <c r="X142" s="21"/>
      <c r="Y142" s="21"/>
      <c r="Z142" s="21"/>
      <c r="AA142" s="21"/>
      <c r="AB142" s="21"/>
      <c r="AC142" s="21"/>
      <c r="AD142" s="21"/>
    </row>
    <row r="143">
      <c r="A143" s="70" t="s">
        <v>446</v>
      </c>
      <c r="B143" s="21"/>
      <c r="C143" s="21"/>
      <c r="D143" s="21"/>
      <c r="E143" s="21"/>
      <c r="F143" s="21"/>
      <c r="G143" s="21"/>
      <c r="H143" s="21"/>
      <c r="I143" s="21"/>
      <c r="J143" s="21"/>
      <c r="K143" s="21"/>
      <c r="L143" s="21"/>
      <c r="M143" s="21"/>
      <c r="N143" s="21"/>
      <c r="O143" s="21"/>
      <c r="P143" s="21"/>
      <c r="Q143" s="21"/>
      <c r="R143" s="26">
        <v>77.0</v>
      </c>
      <c r="S143" s="21" t="s">
        <v>824</v>
      </c>
      <c r="T143" s="21" t="s">
        <v>825</v>
      </c>
      <c r="U143" s="21"/>
      <c r="V143" s="21"/>
      <c r="W143" s="21"/>
      <c r="X143" s="21"/>
      <c r="Y143" s="21"/>
      <c r="Z143" s="21"/>
      <c r="AA143" s="21"/>
      <c r="AB143" s="21"/>
      <c r="AC143" s="21"/>
      <c r="AD143" s="21"/>
    </row>
    <row r="144">
      <c r="A144" s="70" t="s">
        <v>446</v>
      </c>
      <c r="B144" s="21"/>
      <c r="C144" s="21"/>
      <c r="D144" s="21"/>
      <c r="E144" s="21"/>
      <c r="F144" s="21"/>
      <c r="G144" s="21"/>
      <c r="H144" s="21"/>
      <c r="I144" s="21"/>
      <c r="J144" s="21"/>
      <c r="K144" s="21"/>
      <c r="L144" s="21"/>
      <c r="M144" s="21"/>
      <c r="N144" s="21"/>
      <c r="O144" s="21"/>
      <c r="P144" s="21"/>
      <c r="Q144" s="21"/>
      <c r="R144" s="26">
        <v>78.0</v>
      </c>
      <c r="S144" s="21" t="s">
        <v>826</v>
      </c>
      <c r="T144" s="21" t="s">
        <v>827</v>
      </c>
      <c r="U144" s="21"/>
      <c r="V144" s="21"/>
      <c r="W144" s="21"/>
      <c r="X144" s="21"/>
      <c r="Y144" s="21"/>
      <c r="Z144" s="21"/>
      <c r="AA144" s="21"/>
      <c r="AB144" s="21"/>
      <c r="AC144" s="21"/>
      <c r="AD144" s="21"/>
    </row>
    <row r="145">
      <c r="A145" s="70" t="s">
        <v>446</v>
      </c>
      <c r="B145" s="21"/>
      <c r="C145" s="21"/>
      <c r="D145" s="21"/>
      <c r="E145" s="21"/>
      <c r="F145" s="21"/>
      <c r="G145" s="21"/>
      <c r="H145" s="21"/>
      <c r="I145" s="21"/>
      <c r="J145" s="21"/>
      <c r="K145" s="21"/>
      <c r="L145" s="21"/>
      <c r="M145" s="21"/>
      <c r="N145" s="21"/>
      <c r="O145" s="21"/>
      <c r="P145" s="21"/>
      <c r="Q145" s="21"/>
      <c r="R145" s="26">
        <v>79.0</v>
      </c>
      <c r="S145" s="21" t="s">
        <v>828</v>
      </c>
      <c r="T145" s="21" t="s">
        <v>829</v>
      </c>
      <c r="U145" s="21"/>
      <c r="V145" s="21"/>
      <c r="W145" s="21"/>
      <c r="X145" s="21"/>
      <c r="Y145" s="21"/>
      <c r="Z145" s="21"/>
      <c r="AA145" s="21"/>
      <c r="AB145" s="21"/>
      <c r="AC145" s="21"/>
      <c r="AD145" s="21"/>
    </row>
    <row r="146">
      <c r="A146" s="70" t="s">
        <v>446</v>
      </c>
      <c r="B146" s="21"/>
      <c r="C146" s="21"/>
      <c r="D146" s="21"/>
      <c r="E146" s="21"/>
      <c r="F146" s="21"/>
      <c r="G146" s="21"/>
      <c r="H146" s="21"/>
      <c r="I146" s="21"/>
      <c r="J146" s="21"/>
      <c r="K146" s="21"/>
      <c r="L146" s="21"/>
      <c r="M146" s="21"/>
      <c r="N146" s="21"/>
      <c r="O146" s="21"/>
      <c r="P146" s="21"/>
      <c r="Q146" s="21"/>
      <c r="R146" s="26">
        <v>80.0</v>
      </c>
      <c r="S146" s="21" t="s">
        <v>830</v>
      </c>
      <c r="T146" s="21" t="s">
        <v>831</v>
      </c>
      <c r="U146" s="21"/>
      <c r="V146" s="21"/>
      <c r="W146" s="21"/>
      <c r="X146" s="21"/>
      <c r="Y146" s="21"/>
      <c r="Z146" s="21"/>
      <c r="AA146" s="21"/>
      <c r="AB146" s="21"/>
      <c r="AC146" s="21"/>
      <c r="AD146" s="21"/>
    </row>
    <row r="147">
      <c r="A147" s="70" t="s">
        <v>446</v>
      </c>
      <c r="B147" s="21"/>
      <c r="C147" s="21"/>
      <c r="D147" s="21"/>
      <c r="E147" s="21"/>
      <c r="F147" s="21"/>
      <c r="G147" s="21"/>
      <c r="H147" s="21"/>
      <c r="I147" s="21"/>
      <c r="J147" s="21"/>
      <c r="K147" s="21"/>
      <c r="L147" s="21"/>
      <c r="M147" s="21"/>
      <c r="N147" s="21"/>
      <c r="O147" s="21"/>
      <c r="P147" s="21"/>
      <c r="Q147" s="21"/>
      <c r="R147" s="26">
        <v>81.0</v>
      </c>
      <c r="S147" s="21" t="s">
        <v>832</v>
      </c>
      <c r="T147" s="21" t="s">
        <v>833</v>
      </c>
      <c r="U147" s="21"/>
      <c r="V147" s="21"/>
      <c r="W147" s="21"/>
      <c r="X147" s="21"/>
      <c r="Y147" s="21"/>
      <c r="Z147" s="21"/>
      <c r="AA147" s="21"/>
      <c r="AB147" s="21"/>
      <c r="AC147" s="21"/>
      <c r="AD147" s="21"/>
    </row>
    <row r="148">
      <c r="A148" s="70" t="s">
        <v>446</v>
      </c>
      <c r="B148" s="21"/>
      <c r="C148" s="21"/>
      <c r="D148" s="21"/>
      <c r="E148" s="21"/>
      <c r="F148" s="21"/>
      <c r="G148" s="21"/>
      <c r="H148" s="21"/>
      <c r="I148" s="21"/>
      <c r="J148" s="21"/>
      <c r="K148" s="21"/>
      <c r="L148" s="21"/>
      <c r="M148" s="21"/>
      <c r="N148" s="21"/>
      <c r="O148" s="21"/>
      <c r="P148" s="21"/>
      <c r="Q148" s="21"/>
      <c r="R148" s="26">
        <v>82.0</v>
      </c>
      <c r="S148" s="21" t="s">
        <v>834</v>
      </c>
      <c r="T148" s="21" t="s">
        <v>835</v>
      </c>
      <c r="U148" s="21"/>
      <c r="V148" s="21"/>
      <c r="W148" s="21"/>
      <c r="X148" s="21"/>
      <c r="Y148" s="21"/>
      <c r="Z148" s="21"/>
      <c r="AA148" s="21"/>
      <c r="AB148" s="21"/>
      <c r="AC148" s="21"/>
      <c r="AD148" s="21"/>
    </row>
    <row r="149">
      <c r="A149" s="70" t="s">
        <v>446</v>
      </c>
      <c r="B149" s="21"/>
      <c r="C149" s="21"/>
      <c r="D149" s="21"/>
      <c r="E149" s="21"/>
      <c r="F149" s="21"/>
      <c r="G149" s="21"/>
      <c r="H149" s="21"/>
      <c r="I149" s="21"/>
      <c r="J149" s="21"/>
      <c r="K149" s="21"/>
      <c r="L149" s="21"/>
      <c r="M149" s="21"/>
      <c r="N149" s="21"/>
      <c r="O149" s="21"/>
      <c r="P149" s="21"/>
      <c r="Q149" s="21"/>
      <c r="R149" s="26">
        <v>83.0</v>
      </c>
      <c r="S149" s="21" t="s">
        <v>836</v>
      </c>
      <c r="T149" s="21" t="s">
        <v>837</v>
      </c>
      <c r="U149" s="21"/>
      <c r="V149" s="21"/>
      <c r="W149" s="21"/>
      <c r="X149" s="21"/>
      <c r="Y149" s="21"/>
      <c r="Z149" s="21"/>
      <c r="AA149" s="21"/>
      <c r="AB149" s="21"/>
      <c r="AC149" s="21"/>
      <c r="AD149" s="21"/>
    </row>
    <row r="150">
      <c r="A150" s="70" t="s">
        <v>446</v>
      </c>
      <c r="B150" s="21"/>
      <c r="C150" s="21"/>
      <c r="D150" s="21"/>
      <c r="E150" s="21"/>
      <c r="F150" s="21"/>
      <c r="G150" s="21"/>
      <c r="H150" s="21"/>
      <c r="I150" s="21"/>
      <c r="J150" s="21"/>
      <c r="K150" s="21"/>
      <c r="L150" s="21"/>
      <c r="M150" s="21"/>
      <c r="N150" s="21"/>
      <c r="O150" s="21"/>
      <c r="P150" s="21"/>
      <c r="Q150" s="21"/>
      <c r="R150" s="26">
        <v>84.0</v>
      </c>
      <c r="S150" s="21" t="s">
        <v>838</v>
      </c>
      <c r="T150" s="21" t="s">
        <v>839</v>
      </c>
      <c r="U150" s="21"/>
      <c r="V150" s="21"/>
      <c r="W150" s="21"/>
      <c r="X150" s="21"/>
      <c r="Y150" s="21"/>
      <c r="Z150" s="21"/>
      <c r="AA150" s="21"/>
      <c r="AB150" s="21"/>
      <c r="AC150" s="21"/>
      <c r="AD150" s="21"/>
    </row>
    <row r="151">
      <c r="A151" s="70" t="s">
        <v>446</v>
      </c>
      <c r="B151" s="21"/>
      <c r="C151" s="21"/>
      <c r="D151" s="21"/>
      <c r="E151" s="21"/>
      <c r="F151" s="21"/>
      <c r="G151" s="21"/>
      <c r="H151" s="21"/>
      <c r="I151" s="21"/>
      <c r="J151" s="21"/>
      <c r="K151" s="21"/>
      <c r="L151" s="21"/>
      <c r="M151" s="21"/>
      <c r="N151" s="21"/>
      <c r="O151" s="21"/>
      <c r="P151" s="21"/>
      <c r="Q151" s="21"/>
      <c r="R151" s="26">
        <v>85.0</v>
      </c>
      <c r="S151" s="21" t="s">
        <v>840</v>
      </c>
      <c r="T151" s="21" t="s">
        <v>841</v>
      </c>
      <c r="U151" s="21"/>
      <c r="V151" s="21"/>
      <c r="W151" s="21"/>
      <c r="X151" s="21"/>
      <c r="Y151" s="21"/>
      <c r="Z151" s="21"/>
      <c r="AA151" s="21"/>
      <c r="AB151" s="21"/>
      <c r="AC151" s="21"/>
      <c r="AD151" s="21"/>
    </row>
    <row r="152">
      <c r="A152" s="70" t="s">
        <v>446</v>
      </c>
      <c r="B152" s="21"/>
      <c r="C152" s="21"/>
      <c r="D152" s="21"/>
      <c r="E152" s="21"/>
      <c r="F152" s="21"/>
      <c r="G152" s="21"/>
      <c r="H152" s="21"/>
      <c r="I152" s="21"/>
      <c r="J152" s="21"/>
      <c r="K152" s="21"/>
      <c r="L152" s="21"/>
      <c r="M152" s="21"/>
      <c r="N152" s="21"/>
      <c r="O152" s="21"/>
      <c r="P152" s="21"/>
      <c r="Q152" s="21"/>
      <c r="R152" s="26">
        <v>86.0</v>
      </c>
      <c r="S152" s="21" t="s">
        <v>842</v>
      </c>
      <c r="T152" s="21" t="s">
        <v>843</v>
      </c>
      <c r="U152" s="21"/>
      <c r="V152" s="21"/>
      <c r="W152" s="21"/>
      <c r="X152" s="21"/>
      <c r="Y152" s="21"/>
      <c r="Z152" s="21"/>
      <c r="AA152" s="21"/>
      <c r="AB152" s="21"/>
      <c r="AC152" s="21"/>
      <c r="AD152" s="21"/>
    </row>
    <row r="153">
      <c r="A153" s="70" t="s">
        <v>446</v>
      </c>
      <c r="B153" s="21"/>
      <c r="C153" s="21"/>
      <c r="D153" s="21"/>
      <c r="E153" s="21"/>
      <c r="F153" s="21"/>
      <c r="G153" s="21"/>
      <c r="H153" s="21"/>
      <c r="I153" s="21"/>
      <c r="J153" s="21"/>
      <c r="K153" s="21"/>
      <c r="L153" s="21"/>
      <c r="M153" s="21"/>
      <c r="N153" s="21"/>
      <c r="O153" s="21"/>
      <c r="P153" s="21"/>
      <c r="Q153" s="21"/>
      <c r="R153" s="26">
        <v>87.0</v>
      </c>
      <c r="S153" s="21" t="s">
        <v>844</v>
      </c>
      <c r="T153" s="21" t="s">
        <v>845</v>
      </c>
      <c r="U153" s="21"/>
      <c r="V153" s="21"/>
      <c r="W153" s="21"/>
      <c r="X153" s="21"/>
      <c r="Y153" s="21"/>
      <c r="Z153" s="21"/>
      <c r="AA153" s="21"/>
      <c r="AB153" s="21"/>
      <c r="AC153" s="21"/>
      <c r="AD153" s="21"/>
    </row>
    <row r="154">
      <c r="A154" s="70" t="s">
        <v>446</v>
      </c>
      <c r="B154" s="21"/>
      <c r="C154" s="21"/>
      <c r="D154" s="21"/>
      <c r="E154" s="21"/>
      <c r="F154" s="21"/>
      <c r="G154" s="21"/>
      <c r="H154" s="21"/>
      <c r="I154" s="21"/>
      <c r="J154" s="21"/>
      <c r="K154" s="21"/>
      <c r="L154" s="21"/>
      <c r="M154" s="21"/>
      <c r="N154" s="21"/>
      <c r="O154" s="21"/>
      <c r="P154" s="21"/>
      <c r="Q154" s="21"/>
      <c r="R154" s="26">
        <v>88.0</v>
      </c>
      <c r="S154" s="21" t="s">
        <v>846</v>
      </c>
      <c r="T154" s="21" t="s">
        <v>847</v>
      </c>
      <c r="U154" s="21"/>
      <c r="V154" s="21"/>
      <c r="W154" s="21"/>
      <c r="X154" s="21"/>
      <c r="Y154" s="21"/>
      <c r="Z154" s="21"/>
      <c r="AA154" s="21"/>
      <c r="AB154" s="21"/>
      <c r="AC154" s="21"/>
      <c r="AD154" s="21"/>
    </row>
    <row r="155">
      <c r="A155" s="70" t="s">
        <v>446</v>
      </c>
      <c r="B155" s="21"/>
      <c r="C155" s="21"/>
      <c r="D155" s="21"/>
      <c r="E155" s="21"/>
      <c r="F155" s="21"/>
      <c r="G155" s="21"/>
      <c r="H155" s="21"/>
      <c r="I155" s="21"/>
      <c r="J155" s="21"/>
      <c r="K155" s="21"/>
      <c r="L155" s="21"/>
      <c r="M155" s="21"/>
      <c r="N155" s="21"/>
      <c r="O155" s="21"/>
      <c r="P155" s="21"/>
      <c r="Q155" s="21"/>
      <c r="R155" s="26">
        <v>89.0</v>
      </c>
      <c r="S155" s="21" t="s">
        <v>848</v>
      </c>
      <c r="T155" s="21" t="s">
        <v>849</v>
      </c>
      <c r="U155" s="21"/>
      <c r="V155" s="21"/>
      <c r="W155" s="21"/>
      <c r="X155" s="21"/>
      <c r="Y155" s="21"/>
      <c r="Z155" s="21"/>
      <c r="AA155" s="21"/>
      <c r="AB155" s="21"/>
      <c r="AC155" s="21"/>
      <c r="AD155" s="21"/>
    </row>
    <row r="156">
      <c r="A156" s="70" t="s">
        <v>446</v>
      </c>
      <c r="B156" s="21"/>
      <c r="C156" s="21"/>
      <c r="D156" s="21"/>
      <c r="E156" s="21"/>
      <c r="F156" s="21"/>
      <c r="G156" s="21"/>
      <c r="H156" s="21"/>
      <c r="I156" s="21"/>
      <c r="J156" s="21"/>
      <c r="K156" s="21"/>
      <c r="L156" s="21"/>
      <c r="M156" s="21"/>
      <c r="N156" s="21"/>
      <c r="O156" s="21"/>
      <c r="P156" s="21"/>
      <c r="Q156" s="21"/>
      <c r="R156" s="21"/>
      <c r="S156" s="21"/>
      <c r="T156" s="21"/>
      <c r="U156" s="26">
        <v>1.0</v>
      </c>
      <c r="V156" s="21" t="s">
        <v>850</v>
      </c>
      <c r="W156" s="21" t="s">
        <v>851</v>
      </c>
      <c r="X156" s="26">
        <v>1.0</v>
      </c>
      <c r="Y156" s="21" t="s">
        <v>852</v>
      </c>
      <c r="Z156" s="26">
        <v>1.0</v>
      </c>
      <c r="AA156" s="21" t="s">
        <v>852</v>
      </c>
      <c r="AB156" s="21" t="s">
        <v>496</v>
      </c>
      <c r="AC156" s="27" t="s">
        <v>853</v>
      </c>
      <c r="AD156" s="21"/>
    </row>
    <row r="157">
      <c r="A157" s="70" t="s">
        <v>446</v>
      </c>
      <c r="B157" s="21"/>
      <c r="C157" s="21"/>
      <c r="D157" s="21"/>
      <c r="E157" s="21"/>
      <c r="F157" s="21"/>
      <c r="G157" s="21"/>
      <c r="H157" s="21"/>
      <c r="I157" s="21"/>
      <c r="J157" s="21"/>
      <c r="K157" s="21"/>
      <c r="L157" s="21"/>
      <c r="M157" s="21"/>
      <c r="N157" s="21"/>
      <c r="O157" s="21"/>
      <c r="P157" s="21"/>
      <c r="Q157" s="21"/>
      <c r="R157" s="21"/>
      <c r="S157" s="21"/>
      <c r="T157" s="21"/>
      <c r="U157" s="26">
        <v>1.0</v>
      </c>
      <c r="V157" s="21" t="s">
        <v>850</v>
      </c>
      <c r="W157" s="21" t="s">
        <v>851</v>
      </c>
      <c r="X157" s="26">
        <v>1.0</v>
      </c>
      <c r="Y157" s="21" t="s">
        <v>852</v>
      </c>
      <c r="Z157" s="26">
        <v>1.0</v>
      </c>
      <c r="AA157" s="21" t="s">
        <v>852</v>
      </c>
      <c r="AB157" s="21" t="s">
        <v>499</v>
      </c>
      <c r="AC157" s="27" t="s">
        <v>854</v>
      </c>
      <c r="AD157" s="21"/>
    </row>
    <row r="158">
      <c r="A158" s="70" t="s">
        <v>446</v>
      </c>
      <c r="B158" s="21"/>
      <c r="C158" s="21"/>
      <c r="D158" s="21"/>
      <c r="E158" s="21"/>
      <c r="F158" s="21"/>
      <c r="G158" s="21"/>
      <c r="H158" s="21"/>
      <c r="I158" s="21"/>
      <c r="J158" s="21"/>
      <c r="K158" s="21"/>
      <c r="L158" s="21"/>
      <c r="M158" s="21"/>
      <c r="N158" s="21"/>
      <c r="O158" s="21"/>
      <c r="P158" s="21"/>
      <c r="Q158" s="21"/>
      <c r="R158" s="21"/>
      <c r="S158" s="21"/>
      <c r="T158" s="21"/>
      <c r="U158" s="26">
        <v>1.0</v>
      </c>
      <c r="V158" s="21" t="s">
        <v>850</v>
      </c>
      <c r="W158" s="21" t="s">
        <v>851</v>
      </c>
      <c r="X158" s="26">
        <v>1.0</v>
      </c>
      <c r="Y158" s="21" t="s">
        <v>852</v>
      </c>
      <c r="Z158" s="26">
        <v>1.0</v>
      </c>
      <c r="AA158" s="21" t="s">
        <v>852</v>
      </c>
      <c r="AB158" s="21" t="s">
        <v>477</v>
      </c>
      <c r="AC158" s="27" t="s">
        <v>855</v>
      </c>
      <c r="AD158" s="21"/>
    </row>
    <row r="159">
      <c r="A159" s="70" t="s">
        <v>446</v>
      </c>
      <c r="B159" s="21"/>
      <c r="C159" s="21"/>
      <c r="D159" s="21"/>
      <c r="E159" s="21"/>
      <c r="F159" s="21"/>
      <c r="G159" s="21"/>
      <c r="H159" s="21"/>
      <c r="I159" s="21"/>
      <c r="J159" s="21"/>
      <c r="K159" s="21"/>
      <c r="L159" s="21"/>
      <c r="M159" s="21"/>
      <c r="N159" s="21"/>
      <c r="O159" s="21"/>
      <c r="P159" s="21"/>
      <c r="Q159" s="21"/>
      <c r="R159" s="21"/>
      <c r="S159" s="21"/>
      <c r="T159" s="21"/>
      <c r="U159" s="26">
        <v>2.0</v>
      </c>
      <c r="V159" s="21" t="s">
        <v>856</v>
      </c>
      <c r="W159" s="21" t="s">
        <v>857</v>
      </c>
      <c r="X159" s="26">
        <v>1.0</v>
      </c>
      <c r="Y159" s="27" t="s">
        <v>858</v>
      </c>
      <c r="Z159" s="21"/>
      <c r="AA159" s="21"/>
      <c r="AB159" s="21"/>
      <c r="AC159" s="21"/>
      <c r="AD159" s="21"/>
    </row>
    <row r="160">
      <c r="A160" s="70" t="s">
        <v>446</v>
      </c>
      <c r="B160" s="21"/>
      <c r="C160" s="21"/>
      <c r="D160" s="21"/>
      <c r="E160" s="21"/>
      <c r="F160" s="21"/>
      <c r="G160" s="21"/>
      <c r="H160" s="21"/>
      <c r="I160" s="21"/>
      <c r="J160" s="21"/>
      <c r="K160" s="21"/>
      <c r="L160" s="21"/>
      <c r="M160" s="21"/>
      <c r="N160" s="21"/>
      <c r="O160" s="21"/>
      <c r="P160" s="21"/>
      <c r="Q160" s="21"/>
      <c r="R160" s="21"/>
      <c r="S160" s="21"/>
      <c r="T160" s="21"/>
      <c r="U160" s="26">
        <v>2.0</v>
      </c>
      <c r="V160" s="21" t="s">
        <v>856</v>
      </c>
      <c r="W160" s="21" t="s">
        <v>857</v>
      </c>
      <c r="X160" s="26">
        <v>2.0</v>
      </c>
      <c r="Y160" s="27" t="s">
        <v>859</v>
      </c>
      <c r="Z160" s="21"/>
      <c r="AA160" s="21"/>
      <c r="AB160" s="21"/>
      <c r="AC160" s="21"/>
      <c r="AD160" s="21"/>
    </row>
    <row r="161">
      <c r="A161" s="70" t="s">
        <v>446</v>
      </c>
      <c r="B161" s="21"/>
      <c r="C161" s="21"/>
      <c r="D161" s="21"/>
      <c r="E161" s="21"/>
      <c r="F161" s="21"/>
      <c r="G161" s="21"/>
      <c r="H161" s="21"/>
      <c r="I161" s="21"/>
      <c r="J161" s="21"/>
      <c r="K161" s="21"/>
      <c r="L161" s="21"/>
      <c r="M161" s="21"/>
      <c r="N161" s="21"/>
      <c r="O161" s="21"/>
      <c r="P161" s="21"/>
      <c r="Q161" s="21"/>
      <c r="R161" s="21"/>
      <c r="S161" s="21"/>
      <c r="T161" s="21"/>
      <c r="U161" s="26">
        <v>2.0</v>
      </c>
      <c r="V161" s="21" t="s">
        <v>856</v>
      </c>
      <c r="W161" s="21" t="s">
        <v>857</v>
      </c>
      <c r="X161" s="26">
        <v>3.0</v>
      </c>
      <c r="Y161" s="27" t="s">
        <v>860</v>
      </c>
      <c r="Z161" s="21"/>
      <c r="AA161" s="21"/>
      <c r="AB161" s="21"/>
      <c r="AC161" s="21"/>
      <c r="AD161" s="21"/>
    </row>
    <row r="162">
      <c r="A162" s="70" t="s">
        <v>446</v>
      </c>
      <c r="B162" s="21"/>
      <c r="C162" s="21"/>
      <c r="D162" s="21"/>
      <c r="E162" s="21"/>
      <c r="F162" s="21"/>
      <c r="G162" s="21"/>
      <c r="H162" s="21"/>
      <c r="I162" s="21"/>
      <c r="J162" s="21"/>
      <c r="K162" s="21"/>
      <c r="L162" s="21"/>
      <c r="M162" s="21"/>
      <c r="N162" s="21"/>
      <c r="O162" s="21"/>
      <c r="P162" s="21"/>
      <c r="Q162" s="21"/>
      <c r="R162" s="21"/>
      <c r="S162" s="21"/>
      <c r="T162" s="21"/>
      <c r="U162" s="26">
        <v>2.0</v>
      </c>
      <c r="V162" s="21" t="s">
        <v>856</v>
      </c>
      <c r="W162" s="21" t="s">
        <v>857</v>
      </c>
      <c r="X162" s="26">
        <v>4.0</v>
      </c>
      <c r="Y162" s="27" t="s">
        <v>861</v>
      </c>
      <c r="Z162" s="21"/>
      <c r="AA162" s="21"/>
      <c r="AB162" s="21"/>
      <c r="AC162" s="21"/>
      <c r="AD162" s="21"/>
    </row>
    <row r="163">
      <c r="A163" s="70" t="s">
        <v>446</v>
      </c>
      <c r="B163" s="21"/>
      <c r="C163" s="21"/>
      <c r="D163" s="21"/>
      <c r="E163" s="21"/>
      <c r="F163" s="21"/>
      <c r="G163" s="21"/>
      <c r="H163" s="21"/>
      <c r="I163" s="21"/>
      <c r="J163" s="21"/>
      <c r="K163" s="21"/>
      <c r="L163" s="21"/>
      <c r="M163" s="21"/>
      <c r="N163" s="21"/>
      <c r="O163" s="21"/>
      <c r="P163" s="21"/>
      <c r="Q163" s="21"/>
      <c r="R163" s="21"/>
      <c r="S163" s="21"/>
      <c r="T163" s="21"/>
      <c r="U163" s="26">
        <v>2.0</v>
      </c>
      <c r="V163" s="21" t="s">
        <v>856</v>
      </c>
      <c r="W163" s="21" t="s">
        <v>857</v>
      </c>
      <c r="X163" s="26">
        <v>5.0</v>
      </c>
      <c r="Y163" s="27" t="s">
        <v>862</v>
      </c>
      <c r="Z163" s="21"/>
      <c r="AA163" s="21"/>
      <c r="AB163" s="21"/>
      <c r="AC163" s="21"/>
      <c r="AD163" s="21"/>
    </row>
    <row r="164">
      <c r="A164" s="70" t="s">
        <v>446</v>
      </c>
      <c r="B164" s="21"/>
      <c r="C164" s="21"/>
      <c r="D164" s="21"/>
      <c r="E164" s="21"/>
      <c r="F164" s="21"/>
      <c r="G164" s="21"/>
      <c r="H164" s="21"/>
      <c r="I164" s="21"/>
      <c r="J164" s="21"/>
      <c r="K164" s="21"/>
      <c r="L164" s="21"/>
      <c r="M164" s="21"/>
      <c r="N164" s="21"/>
      <c r="O164" s="21"/>
      <c r="P164" s="21"/>
      <c r="Q164" s="21"/>
      <c r="R164" s="21"/>
      <c r="S164" s="21"/>
      <c r="T164" s="21"/>
      <c r="U164" s="26">
        <v>2.0</v>
      </c>
      <c r="V164" s="21" t="s">
        <v>856</v>
      </c>
      <c r="W164" s="21" t="s">
        <v>857</v>
      </c>
      <c r="X164" s="26">
        <v>6.0</v>
      </c>
      <c r="Y164" s="27" t="s">
        <v>863</v>
      </c>
      <c r="Z164" s="21"/>
      <c r="AA164" s="21"/>
      <c r="AB164" s="21"/>
      <c r="AC164" s="21"/>
      <c r="AD164" s="21"/>
    </row>
    <row r="165">
      <c r="A165" s="70" t="s">
        <v>446</v>
      </c>
      <c r="B165" s="21"/>
      <c r="C165" s="21"/>
      <c r="D165" s="21"/>
      <c r="E165" s="21"/>
      <c r="F165" s="21"/>
      <c r="G165" s="21"/>
      <c r="H165" s="21"/>
      <c r="I165" s="21"/>
      <c r="J165" s="21"/>
      <c r="K165" s="21"/>
      <c r="L165" s="21"/>
      <c r="M165" s="21"/>
      <c r="N165" s="21"/>
      <c r="O165" s="21"/>
      <c r="P165" s="21"/>
      <c r="Q165" s="21"/>
      <c r="R165" s="21"/>
      <c r="S165" s="21"/>
      <c r="T165" s="21"/>
      <c r="U165" s="26">
        <v>2.0</v>
      </c>
      <c r="V165" s="21" t="s">
        <v>856</v>
      </c>
      <c r="W165" s="21" t="s">
        <v>857</v>
      </c>
      <c r="X165" s="26">
        <v>7.0</v>
      </c>
      <c r="Y165" s="27" t="s">
        <v>864</v>
      </c>
      <c r="Z165" s="21"/>
      <c r="AA165" s="21"/>
      <c r="AB165" s="21"/>
      <c r="AC165" s="21"/>
      <c r="AD165" s="21"/>
    </row>
    <row r="166">
      <c r="A166" s="70" t="s">
        <v>446</v>
      </c>
      <c r="B166" s="21"/>
      <c r="C166" s="21"/>
      <c r="D166" s="21"/>
      <c r="E166" s="21"/>
      <c r="F166" s="21"/>
      <c r="G166" s="21"/>
      <c r="H166" s="21"/>
      <c r="I166" s="21"/>
      <c r="J166" s="21"/>
      <c r="K166" s="21"/>
      <c r="L166" s="21"/>
      <c r="M166" s="21"/>
      <c r="N166" s="21"/>
      <c r="O166" s="21"/>
      <c r="P166" s="21"/>
      <c r="Q166" s="21"/>
      <c r="R166" s="21"/>
      <c r="S166" s="21"/>
      <c r="T166" s="21"/>
      <c r="U166" s="26">
        <v>2.0</v>
      </c>
      <c r="V166" s="21" t="s">
        <v>856</v>
      </c>
      <c r="W166" s="21" t="s">
        <v>857</v>
      </c>
      <c r="X166" s="26">
        <v>8.0</v>
      </c>
      <c r="Y166" s="27" t="s">
        <v>865</v>
      </c>
      <c r="Z166" s="21"/>
      <c r="AA166" s="21"/>
      <c r="AB166" s="21"/>
      <c r="AC166" s="21"/>
      <c r="AD166" s="21"/>
    </row>
    <row r="167">
      <c r="A167" s="70" t="s">
        <v>446</v>
      </c>
      <c r="B167" s="21"/>
      <c r="C167" s="21"/>
      <c r="D167" s="21"/>
      <c r="E167" s="21"/>
      <c r="F167" s="21"/>
      <c r="G167" s="21"/>
      <c r="H167" s="21"/>
      <c r="I167" s="21"/>
      <c r="J167" s="21"/>
      <c r="K167" s="21"/>
      <c r="L167" s="21"/>
      <c r="M167" s="21"/>
      <c r="N167" s="21"/>
      <c r="O167" s="21"/>
      <c r="P167" s="21"/>
      <c r="Q167" s="21"/>
      <c r="R167" s="21"/>
      <c r="S167" s="21"/>
      <c r="T167" s="21"/>
      <c r="U167" s="26">
        <v>2.0</v>
      </c>
      <c r="V167" s="21" t="s">
        <v>856</v>
      </c>
      <c r="W167" s="21" t="s">
        <v>857</v>
      </c>
      <c r="X167" s="26">
        <v>9.0</v>
      </c>
      <c r="Y167" s="27" t="s">
        <v>866</v>
      </c>
      <c r="Z167" s="21"/>
      <c r="AA167" s="21"/>
      <c r="AB167" s="21"/>
      <c r="AC167" s="21"/>
      <c r="AD167" s="21"/>
    </row>
    <row r="168">
      <c r="A168" s="70" t="s">
        <v>446</v>
      </c>
      <c r="B168" s="21"/>
      <c r="C168" s="21"/>
      <c r="D168" s="21"/>
      <c r="E168" s="21"/>
      <c r="F168" s="21"/>
      <c r="G168" s="21"/>
      <c r="H168" s="21"/>
      <c r="I168" s="21"/>
      <c r="J168" s="21"/>
      <c r="K168" s="21"/>
      <c r="L168" s="21"/>
      <c r="M168" s="21"/>
      <c r="N168" s="21"/>
      <c r="O168" s="21"/>
      <c r="P168" s="21"/>
      <c r="Q168" s="21"/>
      <c r="R168" s="21"/>
      <c r="S168" s="21"/>
      <c r="T168" s="21"/>
      <c r="U168" s="26">
        <v>2.0</v>
      </c>
      <c r="V168" s="21" t="s">
        <v>856</v>
      </c>
      <c r="W168" s="21" t="s">
        <v>857</v>
      </c>
      <c r="X168" s="26">
        <v>10.0</v>
      </c>
      <c r="Y168" s="27" t="s">
        <v>867</v>
      </c>
      <c r="Z168" s="21"/>
      <c r="AA168" s="21"/>
      <c r="AB168" s="21"/>
      <c r="AC168" s="21"/>
      <c r="AD168" s="21"/>
    </row>
    <row r="169">
      <c r="A169" s="70" t="s">
        <v>446</v>
      </c>
      <c r="B169" s="21"/>
      <c r="C169" s="21"/>
      <c r="D169" s="21"/>
      <c r="E169" s="21"/>
      <c r="F169" s="21"/>
      <c r="G169" s="21"/>
      <c r="H169" s="21"/>
      <c r="I169" s="21"/>
      <c r="J169" s="21"/>
      <c r="K169" s="21"/>
      <c r="L169" s="21"/>
      <c r="M169" s="21"/>
      <c r="N169" s="21"/>
      <c r="O169" s="21"/>
      <c r="P169" s="21"/>
      <c r="Q169" s="21"/>
      <c r="R169" s="21"/>
      <c r="S169" s="21"/>
      <c r="T169" s="21"/>
      <c r="U169" s="26">
        <v>2.0</v>
      </c>
      <c r="V169" s="21" t="s">
        <v>856</v>
      </c>
      <c r="W169" s="21" t="s">
        <v>857</v>
      </c>
      <c r="X169" s="26">
        <v>11.0</v>
      </c>
      <c r="Y169" s="27" t="s">
        <v>868</v>
      </c>
      <c r="Z169" s="21"/>
      <c r="AA169" s="21"/>
      <c r="AB169" s="21"/>
      <c r="AC169" s="21"/>
      <c r="AD169" s="21"/>
    </row>
    <row r="170">
      <c r="A170" s="70" t="s">
        <v>446</v>
      </c>
      <c r="B170" s="21"/>
      <c r="C170" s="21"/>
      <c r="D170" s="21"/>
      <c r="E170" s="21"/>
      <c r="F170" s="21"/>
      <c r="G170" s="21"/>
      <c r="H170" s="21"/>
      <c r="I170" s="21"/>
      <c r="J170" s="21"/>
      <c r="K170" s="21"/>
      <c r="L170" s="21"/>
      <c r="M170" s="21"/>
      <c r="N170" s="21"/>
      <c r="O170" s="21"/>
      <c r="P170" s="21"/>
      <c r="Q170" s="21"/>
      <c r="R170" s="21"/>
      <c r="S170" s="21"/>
      <c r="T170" s="21"/>
      <c r="U170" s="26">
        <v>2.0</v>
      </c>
      <c r="V170" s="21" t="s">
        <v>856</v>
      </c>
      <c r="W170" s="21" t="s">
        <v>857</v>
      </c>
      <c r="X170" s="26">
        <v>12.0</v>
      </c>
      <c r="Y170" s="27" t="s">
        <v>869</v>
      </c>
      <c r="Z170" s="21"/>
      <c r="AA170" s="21"/>
      <c r="AB170" s="21"/>
      <c r="AC170" s="21"/>
      <c r="AD170" s="21"/>
    </row>
    <row r="171">
      <c r="A171" s="70" t="s">
        <v>446</v>
      </c>
      <c r="B171" s="21"/>
      <c r="C171" s="21"/>
      <c r="D171" s="21"/>
      <c r="E171" s="21"/>
      <c r="F171" s="21"/>
      <c r="G171" s="21"/>
      <c r="H171" s="21"/>
      <c r="I171" s="21"/>
      <c r="J171" s="21"/>
      <c r="K171" s="21"/>
      <c r="L171" s="21"/>
      <c r="M171" s="21"/>
      <c r="N171" s="21"/>
      <c r="O171" s="21"/>
      <c r="P171" s="21"/>
      <c r="Q171" s="21"/>
      <c r="R171" s="21"/>
      <c r="S171" s="21"/>
      <c r="T171" s="21"/>
      <c r="U171" s="26">
        <v>2.0</v>
      </c>
      <c r="V171" s="21" t="s">
        <v>856</v>
      </c>
      <c r="W171" s="21" t="s">
        <v>870</v>
      </c>
      <c r="X171" s="26">
        <v>1.0</v>
      </c>
      <c r="Y171" s="27" t="s">
        <v>871</v>
      </c>
      <c r="Z171" s="21"/>
      <c r="AA171" s="21"/>
      <c r="AB171" s="21"/>
      <c r="AC171" s="21"/>
      <c r="AD171" s="21"/>
    </row>
    <row r="172">
      <c r="A172" s="70" t="s">
        <v>446</v>
      </c>
      <c r="B172" s="21"/>
      <c r="C172" s="21"/>
      <c r="D172" s="21"/>
      <c r="E172" s="21"/>
      <c r="F172" s="21"/>
      <c r="G172" s="21"/>
      <c r="H172" s="21"/>
      <c r="I172" s="21"/>
      <c r="J172" s="21"/>
      <c r="K172" s="21"/>
      <c r="L172" s="21"/>
      <c r="M172" s="21"/>
      <c r="N172" s="21"/>
      <c r="O172" s="21"/>
      <c r="P172" s="21"/>
      <c r="Q172" s="21"/>
      <c r="R172" s="21"/>
      <c r="S172" s="21"/>
      <c r="T172" s="21"/>
      <c r="U172" s="26">
        <v>2.0</v>
      </c>
      <c r="V172" s="21" t="s">
        <v>856</v>
      </c>
      <c r="W172" s="21" t="s">
        <v>870</v>
      </c>
      <c r="X172" s="26">
        <v>2.0</v>
      </c>
      <c r="Y172" s="27" t="s">
        <v>872</v>
      </c>
      <c r="Z172" s="21"/>
      <c r="AA172" s="21"/>
      <c r="AB172" s="21"/>
      <c r="AC172" s="21"/>
      <c r="AD172" s="21"/>
    </row>
    <row r="173">
      <c r="A173" s="70" t="s">
        <v>446</v>
      </c>
      <c r="B173" s="21"/>
      <c r="C173" s="21"/>
      <c r="D173" s="21"/>
      <c r="E173" s="21"/>
      <c r="F173" s="21"/>
      <c r="G173" s="21"/>
      <c r="H173" s="21"/>
      <c r="I173" s="21"/>
      <c r="J173" s="21"/>
      <c r="K173" s="21"/>
      <c r="L173" s="21"/>
      <c r="M173" s="21"/>
      <c r="N173" s="21"/>
      <c r="O173" s="21"/>
      <c r="P173" s="21"/>
      <c r="Q173" s="21"/>
      <c r="R173" s="21"/>
      <c r="S173" s="21"/>
      <c r="T173" s="21"/>
      <c r="U173" s="26">
        <v>2.0</v>
      </c>
      <c r="V173" s="21" t="s">
        <v>856</v>
      </c>
      <c r="W173" s="21" t="s">
        <v>870</v>
      </c>
      <c r="X173" s="26">
        <v>3.0</v>
      </c>
      <c r="Y173" s="27" t="s">
        <v>873</v>
      </c>
      <c r="Z173" s="21"/>
      <c r="AA173" s="21"/>
      <c r="AB173" s="21"/>
      <c r="AC173" s="21"/>
      <c r="AD173" s="21"/>
    </row>
    <row r="174">
      <c r="A174" s="70" t="s">
        <v>446</v>
      </c>
      <c r="B174" s="21"/>
      <c r="C174" s="21"/>
      <c r="D174" s="21"/>
      <c r="E174" s="21"/>
      <c r="F174" s="21"/>
      <c r="G174" s="21"/>
      <c r="H174" s="21"/>
      <c r="I174" s="21"/>
      <c r="J174" s="21"/>
      <c r="K174" s="21"/>
      <c r="L174" s="21"/>
      <c r="M174" s="21"/>
      <c r="N174" s="21"/>
      <c r="O174" s="21"/>
      <c r="P174" s="21"/>
      <c r="Q174" s="21"/>
      <c r="R174" s="21"/>
      <c r="S174" s="21"/>
      <c r="T174" s="21"/>
      <c r="U174" s="26">
        <v>2.0</v>
      </c>
      <c r="V174" s="21" t="s">
        <v>856</v>
      </c>
      <c r="W174" s="21" t="s">
        <v>870</v>
      </c>
      <c r="X174" s="26">
        <v>4.0</v>
      </c>
      <c r="Y174" s="27" t="s">
        <v>874</v>
      </c>
      <c r="Z174" s="21"/>
      <c r="AA174" s="21"/>
      <c r="AB174" s="21"/>
      <c r="AC174" s="21"/>
      <c r="AD174" s="21"/>
    </row>
    <row r="175">
      <c r="A175" s="70" t="s">
        <v>446</v>
      </c>
      <c r="B175" s="21"/>
      <c r="C175" s="21"/>
      <c r="D175" s="21"/>
      <c r="E175" s="21"/>
      <c r="F175" s="21"/>
      <c r="G175" s="21"/>
      <c r="H175" s="21"/>
      <c r="I175" s="21"/>
      <c r="J175" s="21"/>
      <c r="K175" s="21"/>
      <c r="L175" s="21"/>
      <c r="M175" s="21"/>
      <c r="N175" s="21"/>
      <c r="O175" s="21"/>
      <c r="P175" s="21"/>
      <c r="Q175" s="21"/>
      <c r="R175" s="21"/>
      <c r="S175" s="21"/>
      <c r="T175" s="21"/>
      <c r="U175" s="26">
        <v>2.0</v>
      </c>
      <c r="V175" s="21" t="s">
        <v>856</v>
      </c>
      <c r="W175" s="21" t="s">
        <v>870</v>
      </c>
      <c r="X175" s="26">
        <v>5.0</v>
      </c>
      <c r="Y175" s="27" t="s">
        <v>875</v>
      </c>
      <c r="Z175" s="21"/>
      <c r="AA175" s="21"/>
      <c r="AB175" s="21"/>
      <c r="AC175" s="21"/>
      <c r="AD175" s="21"/>
    </row>
    <row r="176">
      <c r="A176" s="70" t="s">
        <v>446</v>
      </c>
      <c r="B176" s="21"/>
      <c r="C176" s="21"/>
      <c r="D176" s="21"/>
      <c r="E176" s="21"/>
      <c r="F176" s="21"/>
      <c r="G176" s="21"/>
      <c r="H176" s="21"/>
      <c r="I176" s="21"/>
      <c r="J176" s="21"/>
      <c r="K176" s="21"/>
      <c r="L176" s="21"/>
      <c r="M176" s="21"/>
      <c r="N176" s="21"/>
      <c r="O176" s="21"/>
      <c r="P176" s="21"/>
      <c r="Q176" s="21"/>
      <c r="R176" s="21"/>
      <c r="S176" s="21"/>
      <c r="T176" s="21"/>
      <c r="U176" s="26">
        <v>2.0</v>
      </c>
      <c r="V176" s="21" t="s">
        <v>856</v>
      </c>
      <c r="W176" s="21" t="s">
        <v>870</v>
      </c>
      <c r="X176" s="26">
        <v>6.0</v>
      </c>
      <c r="Y176" s="27" t="s">
        <v>876</v>
      </c>
      <c r="Z176" s="21"/>
      <c r="AA176" s="21"/>
      <c r="AB176" s="21"/>
      <c r="AC176" s="21"/>
      <c r="AD176" s="21"/>
    </row>
    <row r="177">
      <c r="A177" s="70" t="s">
        <v>446</v>
      </c>
      <c r="B177" s="21"/>
      <c r="C177" s="21"/>
      <c r="D177" s="21"/>
      <c r="E177" s="21"/>
      <c r="F177" s="21"/>
      <c r="G177" s="21"/>
      <c r="H177" s="21"/>
      <c r="I177" s="21"/>
      <c r="J177" s="21"/>
      <c r="K177" s="21"/>
      <c r="L177" s="21"/>
      <c r="M177" s="21"/>
      <c r="N177" s="21"/>
      <c r="O177" s="21"/>
      <c r="P177" s="21"/>
      <c r="Q177" s="21"/>
      <c r="R177" s="21"/>
      <c r="S177" s="21"/>
      <c r="T177" s="21"/>
      <c r="U177" s="26">
        <v>2.0</v>
      </c>
      <c r="V177" s="21" t="s">
        <v>856</v>
      </c>
      <c r="W177" s="21" t="s">
        <v>870</v>
      </c>
      <c r="X177" s="26">
        <v>7.0</v>
      </c>
      <c r="Y177" s="27" t="s">
        <v>877</v>
      </c>
      <c r="Z177" s="21"/>
      <c r="AA177" s="21"/>
      <c r="AB177" s="21"/>
      <c r="AC177" s="21"/>
      <c r="AD177" s="21"/>
    </row>
    <row r="178">
      <c r="A178" s="70" t="s">
        <v>446</v>
      </c>
      <c r="B178" s="21"/>
      <c r="C178" s="21"/>
      <c r="D178" s="21"/>
      <c r="E178" s="21"/>
      <c r="F178" s="21"/>
      <c r="G178" s="21"/>
      <c r="H178" s="21"/>
      <c r="I178" s="21"/>
      <c r="J178" s="21"/>
      <c r="K178" s="21"/>
      <c r="L178" s="21"/>
      <c r="M178" s="21"/>
      <c r="N178" s="21"/>
      <c r="O178" s="21"/>
      <c r="P178" s="21"/>
      <c r="Q178" s="21"/>
      <c r="R178" s="21"/>
      <c r="S178" s="21"/>
      <c r="T178" s="21"/>
      <c r="U178" s="26">
        <v>3.0</v>
      </c>
      <c r="V178" s="21" t="s">
        <v>878</v>
      </c>
      <c r="W178" s="21" t="s">
        <v>879</v>
      </c>
      <c r="X178" s="26">
        <v>1.0</v>
      </c>
      <c r="Y178" s="21" t="s">
        <v>880</v>
      </c>
      <c r="Z178" s="26">
        <v>1.0</v>
      </c>
      <c r="AA178" s="21" t="s">
        <v>852</v>
      </c>
      <c r="AB178" s="21" t="s">
        <v>496</v>
      </c>
      <c r="AC178" s="27" t="s">
        <v>881</v>
      </c>
      <c r="AD178" s="21"/>
    </row>
    <row r="179">
      <c r="A179" s="70" t="s">
        <v>446</v>
      </c>
      <c r="B179" s="21"/>
      <c r="C179" s="21"/>
      <c r="D179" s="21"/>
      <c r="E179" s="21"/>
      <c r="F179" s="21"/>
      <c r="G179" s="21"/>
      <c r="H179" s="21"/>
      <c r="I179" s="21"/>
      <c r="J179" s="21"/>
      <c r="K179" s="21"/>
      <c r="L179" s="21"/>
      <c r="M179" s="21"/>
      <c r="N179" s="21"/>
      <c r="O179" s="21"/>
      <c r="P179" s="21"/>
      <c r="Q179" s="21"/>
      <c r="R179" s="21"/>
      <c r="S179" s="21"/>
      <c r="T179" s="21"/>
      <c r="U179" s="26">
        <v>3.0</v>
      </c>
      <c r="V179" s="21" t="s">
        <v>878</v>
      </c>
      <c r="W179" s="21" t="s">
        <v>879</v>
      </c>
      <c r="X179" s="26">
        <v>2.0</v>
      </c>
      <c r="Y179" s="21" t="s">
        <v>882</v>
      </c>
      <c r="Z179" s="26">
        <v>2.0</v>
      </c>
      <c r="AA179" s="21" t="s">
        <v>852</v>
      </c>
      <c r="AB179" s="21" t="s">
        <v>496</v>
      </c>
      <c r="AC179" s="27" t="s">
        <v>883</v>
      </c>
      <c r="AD179" s="21"/>
    </row>
    <row r="180">
      <c r="A180" s="70" t="s">
        <v>446</v>
      </c>
      <c r="B180" s="21"/>
      <c r="C180" s="21"/>
      <c r="D180" s="21"/>
      <c r="E180" s="21"/>
      <c r="F180" s="21"/>
      <c r="G180" s="21"/>
      <c r="H180" s="21"/>
      <c r="I180" s="21"/>
      <c r="J180" s="21"/>
      <c r="K180" s="21"/>
      <c r="L180" s="21"/>
      <c r="M180" s="21"/>
      <c r="N180" s="21"/>
      <c r="O180" s="21"/>
      <c r="P180" s="21"/>
      <c r="Q180" s="21"/>
      <c r="R180" s="21"/>
      <c r="S180" s="21"/>
      <c r="T180" s="21"/>
      <c r="U180" s="26">
        <v>3.0</v>
      </c>
      <c r="V180" s="21" t="s">
        <v>878</v>
      </c>
      <c r="W180" s="21" t="s">
        <v>879</v>
      </c>
      <c r="X180" s="26">
        <v>3.0</v>
      </c>
      <c r="Y180" s="21" t="s">
        <v>884</v>
      </c>
      <c r="Z180" s="26">
        <v>3.0</v>
      </c>
      <c r="AA180" s="21" t="s">
        <v>852</v>
      </c>
      <c r="AB180" s="21" t="s">
        <v>496</v>
      </c>
      <c r="AC180" s="27" t="s">
        <v>885</v>
      </c>
      <c r="AD180" s="21"/>
    </row>
    <row r="181">
      <c r="A181" s="70" t="s">
        <v>446</v>
      </c>
      <c r="B181" s="21"/>
      <c r="C181" s="21"/>
      <c r="D181" s="21"/>
      <c r="E181" s="21"/>
      <c r="F181" s="21"/>
      <c r="G181" s="21"/>
      <c r="H181" s="21"/>
      <c r="I181" s="21"/>
      <c r="J181" s="21"/>
      <c r="K181" s="21"/>
      <c r="L181" s="21"/>
      <c r="M181" s="21"/>
      <c r="N181" s="21"/>
      <c r="O181" s="21"/>
      <c r="P181" s="21"/>
      <c r="Q181" s="21"/>
      <c r="R181" s="21"/>
      <c r="S181" s="21"/>
      <c r="T181" s="21"/>
      <c r="U181" s="26">
        <v>3.0</v>
      </c>
      <c r="V181" s="21" t="s">
        <v>878</v>
      </c>
      <c r="W181" s="21" t="s">
        <v>879</v>
      </c>
      <c r="X181" s="26">
        <v>3.0</v>
      </c>
      <c r="Y181" s="21" t="s">
        <v>884</v>
      </c>
      <c r="Z181" s="26">
        <v>3.0</v>
      </c>
      <c r="AA181" s="21" t="s">
        <v>852</v>
      </c>
      <c r="AB181" s="21" t="s">
        <v>499</v>
      </c>
      <c r="AC181" s="27" t="s">
        <v>886</v>
      </c>
      <c r="AD181" s="21"/>
    </row>
    <row r="182">
      <c r="A182" s="70" t="s">
        <v>446</v>
      </c>
      <c r="B182" s="21"/>
      <c r="C182" s="21"/>
      <c r="D182" s="21"/>
      <c r="E182" s="21"/>
      <c r="F182" s="21"/>
      <c r="G182" s="21"/>
      <c r="H182" s="21"/>
      <c r="I182" s="21"/>
      <c r="J182" s="21"/>
      <c r="K182" s="21"/>
      <c r="L182" s="21"/>
      <c r="M182" s="21"/>
      <c r="N182" s="21"/>
      <c r="O182" s="21"/>
      <c r="P182" s="21"/>
      <c r="Q182" s="21"/>
      <c r="R182" s="21"/>
      <c r="S182" s="21"/>
      <c r="T182" s="21"/>
      <c r="U182" s="26">
        <v>3.0</v>
      </c>
      <c r="V182" s="21" t="s">
        <v>878</v>
      </c>
      <c r="W182" s="21" t="s">
        <v>879</v>
      </c>
      <c r="X182" s="26">
        <v>4.0</v>
      </c>
      <c r="Y182" s="21" t="s">
        <v>887</v>
      </c>
      <c r="Z182" s="26">
        <v>4.0</v>
      </c>
      <c r="AA182" s="21" t="s">
        <v>852</v>
      </c>
      <c r="AB182" s="21" t="s">
        <v>496</v>
      </c>
      <c r="AC182" s="27" t="s">
        <v>888</v>
      </c>
      <c r="AD182" s="21"/>
    </row>
    <row r="183">
      <c r="A183" s="70" t="s">
        <v>446</v>
      </c>
      <c r="B183" s="21"/>
      <c r="C183" s="21"/>
      <c r="D183" s="21"/>
      <c r="E183" s="21"/>
      <c r="F183" s="21"/>
      <c r="G183" s="21"/>
      <c r="H183" s="21"/>
      <c r="I183" s="21"/>
      <c r="J183" s="21"/>
      <c r="K183" s="21"/>
      <c r="L183" s="21"/>
      <c r="M183" s="21"/>
      <c r="N183" s="21"/>
      <c r="O183" s="21"/>
      <c r="P183" s="21"/>
      <c r="Q183" s="21"/>
      <c r="R183" s="21"/>
      <c r="S183" s="21"/>
      <c r="T183" s="21"/>
      <c r="U183" s="26">
        <v>3.0</v>
      </c>
      <c r="V183" s="21" t="s">
        <v>878</v>
      </c>
      <c r="W183" s="21" t="s">
        <v>879</v>
      </c>
      <c r="X183" s="26">
        <v>4.0</v>
      </c>
      <c r="Y183" s="21" t="s">
        <v>887</v>
      </c>
      <c r="Z183" s="26">
        <v>4.0</v>
      </c>
      <c r="AA183" s="21" t="s">
        <v>852</v>
      </c>
      <c r="AB183" s="21" t="s">
        <v>499</v>
      </c>
      <c r="AC183" s="27" t="s">
        <v>889</v>
      </c>
      <c r="AD183" s="21"/>
    </row>
    <row r="184">
      <c r="A184" s="70" t="s">
        <v>446</v>
      </c>
      <c r="B184" s="21"/>
      <c r="C184" s="21"/>
      <c r="D184" s="21"/>
      <c r="E184" s="21"/>
      <c r="F184" s="21"/>
      <c r="G184" s="21"/>
      <c r="H184" s="21"/>
      <c r="I184" s="21"/>
      <c r="J184" s="21"/>
      <c r="K184" s="21"/>
      <c r="L184" s="21"/>
      <c r="M184" s="21"/>
      <c r="N184" s="21"/>
      <c r="O184" s="21"/>
      <c r="P184" s="21"/>
      <c r="Q184" s="21"/>
      <c r="R184" s="21"/>
      <c r="S184" s="21"/>
      <c r="T184" s="21"/>
      <c r="U184" s="26">
        <v>3.0</v>
      </c>
      <c r="V184" s="21" t="s">
        <v>878</v>
      </c>
      <c r="W184" s="21" t="s">
        <v>879</v>
      </c>
      <c r="X184" s="26">
        <v>5.0</v>
      </c>
      <c r="Y184" s="21" t="s">
        <v>890</v>
      </c>
      <c r="Z184" s="26">
        <v>5.0</v>
      </c>
      <c r="AA184" s="21" t="s">
        <v>852</v>
      </c>
      <c r="AB184" s="21" t="s">
        <v>496</v>
      </c>
      <c r="AC184" s="27" t="s">
        <v>891</v>
      </c>
      <c r="AD184" s="21"/>
    </row>
    <row r="185">
      <c r="A185" s="70" t="s">
        <v>446</v>
      </c>
      <c r="B185" s="21"/>
      <c r="C185" s="21"/>
      <c r="D185" s="21"/>
      <c r="E185" s="21"/>
      <c r="F185" s="21"/>
      <c r="G185" s="21"/>
      <c r="H185" s="21"/>
      <c r="I185" s="21"/>
      <c r="J185" s="21"/>
      <c r="K185" s="21"/>
      <c r="L185" s="21"/>
      <c r="M185" s="21"/>
      <c r="N185" s="21"/>
      <c r="O185" s="21"/>
      <c r="P185" s="21"/>
      <c r="Q185" s="21"/>
      <c r="R185" s="21"/>
      <c r="S185" s="21"/>
      <c r="T185" s="21"/>
      <c r="U185" s="26">
        <v>3.0</v>
      </c>
      <c r="V185" s="21" t="s">
        <v>878</v>
      </c>
      <c r="W185" s="21" t="s">
        <v>879</v>
      </c>
      <c r="X185" s="26">
        <v>5.0</v>
      </c>
      <c r="Y185" s="21" t="s">
        <v>890</v>
      </c>
      <c r="Z185" s="26">
        <v>5.0</v>
      </c>
      <c r="AA185" s="21" t="s">
        <v>852</v>
      </c>
      <c r="AB185" s="21" t="s">
        <v>499</v>
      </c>
      <c r="AC185" s="27" t="s">
        <v>892</v>
      </c>
      <c r="AD185" s="21"/>
    </row>
    <row r="186">
      <c r="A186" s="70" t="s">
        <v>446</v>
      </c>
      <c r="B186" s="21"/>
      <c r="C186" s="21"/>
      <c r="D186" s="21"/>
      <c r="E186" s="21"/>
      <c r="F186" s="21"/>
      <c r="G186" s="21"/>
      <c r="H186" s="21"/>
      <c r="I186" s="21"/>
      <c r="J186" s="21"/>
      <c r="K186" s="21"/>
      <c r="L186" s="21"/>
      <c r="M186" s="21"/>
      <c r="N186" s="21"/>
      <c r="O186" s="21"/>
      <c r="P186" s="21"/>
      <c r="Q186" s="21"/>
      <c r="R186" s="21"/>
      <c r="S186" s="21"/>
      <c r="T186" s="21"/>
      <c r="U186" s="26">
        <v>3.0</v>
      </c>
      <c r="V186" s="21" t="s">
        <v>878</v>
      </c>
      <c r="W186" s="21" t="s">
        <v>879</v>
      </c>
      <c r="X186" s="26">
        <v>5.0</v>
      </c>
      <c r="Y186" s="21" t="s">
        <v>890</v>
      </c>
      <c r="Z186" s="26">
        <v>5.0</v>
      </c>
      <c r="AA186" s="21" t="s">
        <v>852</v>
      </c>
      <c r="AB186" s="21" t="s">
        <v>477</v>
      </c>
      <c r="AC186" s="27" t="s">
        <v>893</v>
      </c>
      <c r="AD186" s="21"/>
    </row>
    <row r="187">
      <c r="A187" s="70" t="s">
        <v>446</v>
      </c>
      <c r="B187" s="21"/>
      <c r="C187" s="21"/>
      <c r="D187" s="21"/>
      <c r="E187" s="21"/>
      <c r="F187" s="21"/>
      <c r="G187" s="21"/>
      <c r="H187" s="21"/>
      <c r="I187" s="21"/>
      <c r="J187" s="21"/>
      <c r="K187" s="21"/>
      <c r="L187" s="21"/>
      <c r="M187" s="21"/>
      <c r="N187" s="21"/>
      <c r="O187" s="21"/>
      <c r="P187" s="21"/>
      <c r="Q187" s="21"/>
      <c r="R187" s="21"/>
      <c r="S187" s="21"/>
      <c r="T187" s="21"/>
      <c r="U187" s="26">
        <v>3.0</v>
      </c>
      <c r="V187" s="21" t="s">
        <v>878</v>
      </c>
      <c r="W187" s="21" t="s">
        <v>879</v>
      </c>
      <c r="X187" s="26">
        <v>6.0</v>
      </c>
      <c r="Y187" s="21" t="s">
        <v>894</v>
      </c>
      <c r="Z187" s="26">
        <v>6.0</v>
      </c>
      <c r="AA187" s="21" t="s">
        <v>852</v>
      </c>
      <c r="AB187" s="21" t="s">
        <v>496</v>
      </c>
      <c r="AC187" s="27" t="s">
        <v>895</v>
      </c>
      <c r="AD187" s="21"/>
    </row>
    <row r="188">
      <c r="A188" s="70" t="s">
        <v>446</v>
      </c>
      <c r="B188" s="21"/>
      <c r="C188" s="21"/>
      <c r="D188" s="21"/>
      <c r="E188" s="21"/>
      <c r="F188" s="21"/>
      <c r="G188" s="21"/>
      <c r="H188" s="21"/>
      <c r="I188" s="21"/>
      <c r="J188" s="21"/>
      <c r="K188" s="21"/>
      <c r="L188" s="21"/>
      <c r="M188" s="21"/>
      <c r="N188" s="21"/>
      <c r="O188" s="21"/>
      <c r="P188" s="21"/>
      <c r="Q188" s="21"/>
      <c r="R188" s="21"/>
      <c r="S188" s="21"/>
      <c r="T188" s="21"/>
      <c r="U188" s="26">
        <v>3.0</v>
      </c>
      <c r="V188" s="21" t="s">
        <v>878</v>
      </c>
      <c r="W188" s="21" t="s">
        <v>879</v>
      </c>
      <c r="X188" s="26">
        <v>6.0</v>
      </c>
      <c r="Y188" s="21" t="s">
        <v>894</v>
      </c>
      <c r="Z188" s="26">
        <v>6.0</v>
      </c>
      <c r="AA188" s="21" t="s">
        <v>852</v>
      </c>
      <c r="AB188" s="21" t="s">
        <v>499</v>
      </c>
      <c r="AC188" s="27" t="s">
        <v>896</v>
      </c>
      <c r="AD188" s="21"/>
    </row>
    <row r="189">
      <c r="A189" s="70" t="s">
        <v>446</v>
      </c>
      <c r="B189" s="21"/>
      <c r="C189" s="21"/>
      <c r="D189" s="21"/>
      <c r="E189" s="21"/>
      <c r="F189" s="21"/>
      <c r="G189" s="21"/>
      <c r="H189" s="21"/>
      <c r="I189" s="21"/>
      <c r="J189" s="21"/>
      <c r="K189" s="21"/>
      <c r="L189" s="21"/>
      <c r="M189" s="21"/>
      <c r="N189" s="21"/>
      <c r="O189" s="21"/>
      <c r="P189" s="21"/>
      <c r="Q189" s="21"/>
      <c r="R189" s="21"/>
      <c r="S189" s="21"/>
      <c r="T189" s="21"/>
      <c r="U189" s="26">
        <v>3.0</v>
      </c>
      <c r="V189" s="21" t="s">
        <v>878</v>
      </c>
      <c r="W189" s="21" t="s">
        <v>879</v>
      </c>
      <c r="X189" s="26">
        <v>6.0</v>
      </c>
      <c r="Y189" s="21" t="s">
        <v>894</v>
      </c>
      <c r="Z189" s="26">
        <v>6.0</v>
      </c>
      <c r="AA189" s="21" t="s">
        <v>852</v>
      </c>
      <c r="AB189" s="21" t="s">
        <v>477</v>
      </c>
      <c r="AC189" s="27" t="s">
        <v>897</v>
      </c>
      <c r="AD189" s="21"/>
    </row>
    <row r="190">
      <c r="A190" s="70" t="s">
        <v>446</v>
      </c>
      <c r="B190" s="21"/>
      <c r="C190" s="21"/>
      <c r="D190" s="21"/>
      <c r="E190" s="21"/>
      <c r="F190" s="21"/>
      <c r="G190" s="21"/>
      <c r="H190" s="21"/>
      <c r="I190" s="21"/>
      <c r="J190" s="21"/>
      <c r="K190" s="21"/>
      <c r="L190" s="21"/>
      <c r="M190" s="21"/>
      <c r="N190" s="21"/>
      <c r="O190" s="21"/>
      <c r="P190" s="21"/>
      <c r="Q190" s="21"/>
      <c r="R190" s="21"/>
      <c r="S190" s="21"/>
      <c r="T190" s="21"/>
      <c r="U190" s="26">
        <v>3.0</v>
      </c>
      <c r="V190" s="21" t="s">
        <v>878</v>
      </c>
      <c r="W190" s="21" t="s">
        <v>879</v>
      </c>
      <c r="X190" s="26">
        <v>6.0</v>
      </c>
      <c r="Y190" s="21" t="s">
        <v>894</v>
      </c>
      <c r="Z190" s="26">
        <v>6.0</v>
      </c>
      <c r="AA190" s="21" t="s">
        <v>852</v>
      </c>
      <c r="AB190" s="21" t="s">
        <v>504</v>
      </c>
      <c r="AC190" s="27" t="s">
        <v>898</v>
      </c>
      <c r="AD190" s="21"/>
    </row>
    <row r="191">
      <c r="A191" s="70" t="s">
        <v>446</v>
      </c>
      <c r="B191" s="21"/>
      <c r="C191" s="21"/>
      <c r="D191" s="21"/>
      <c r="E191" s="21"/>
      <c r="F191" s="21"/>
      <c r="G191" s="21"/>
      <c r="H191" s="21"/>
      <c r="I191" s="21"/>
      <c r="J191" s="21"/>
      <c r="K191" s="21"/>
      <c r="L191" s="21"/>
      <c r="M191" s="21"/>
      <c r="N191" s="21"/>
      <c r="O191" s="21"/>
      <c r="P191" s="21"/>
      <c r="Q191" s="21"/>
      <c r="R191" s="21"/>
      <c r="S191" s="21"/>
      <c r="T191" s="21"/>
      <c r="U191" s="26">
        <v>3.0</v>
      </c>
      <c r="V191" s="21" t="s">
        <v>878</v>
      </c>
      <c r="W191" s="21" t="s">
        <v>879</v>
      </c>
      <c r="X191" s="26">
        <v>6.0</v>
      </c>
      <c r="Y191" s="21" t="s">
        <v>894</v>
      </c>
      <c r="Z191" s="26">
        <v>6.0</v>
      </c>
      <c r="AA191" s="21" t="s">
        <v>852</v>
      </c>
      <c r="AB191" s="21" t="s">
        <v>507</v>
      </c>
      <c r="AC191" s="27" t="s">
        <v>899</v>
      </c>
      <c r="AD191" s="21"/>
    </row>
    <row r="192">
      <c r="A192" s="70" t="s">
        <v>446</v>
      </c>
      <c r="B192" s="21"/>
      <c r="C192" s="21"/>
      <c r="D192" s="21"/>
      <c r="E192" s="21"/>
      <c r="F192" s="21"/>
      <c r="G192" s="21"/>
      <c r="H192" s="21"/>
      <c r="I192" s="21"/>
      <c r="J192" s="21"/>
      <c r="K192" s="21"/>
      <c r="L192" s="21"/>
      <c r="M192" s="21"/>
      <c r="N192" s="21"/>
      <c r="O192" s="21"/>
      <c r="P192" s="21"/>
      <c r="Q192" s="21"/>
      <c r="R192" s="21"/>
      <c r="S192" s="21"/>
      <c r="T192" s="21"/>
      <c r="U192" s="26">
        <v>3.0</v>
      </c>
      <c r="V192" s="21" t="s">
        <v>878</v>
      </c>
      <c r="W192" s="21" t="s">
        <v>879</v>
      </c>
      <c r="X192" s="26">
        <v>6.0</v>
      </c>
      <c r="Y192" s="21" t="s">
        <v>894</v>
      </c>
      <c r="Z192" s="26">
        <v>6.0</v>
      </c>
      <c r="AA192" s="21" t="s">
        <v>852</v>
      </c>
      <c r="AB192" s="21" t="s">
        <v>510</v>
      </c>
      <c r="AC192" s="27" t="s">
        <v>900</v>
      </c>
      <c r="AD192" s="21"/>
    </row>
    <row r="193">
      <c r="A193" s="70" t="s">
        <v>446</v>
      </c>
      <c r="B193" s="21"/>
      <c r="C193" s="21"/>
      <c r="D193" s="21"/>
      <c r="E193" s="21"/>
      <c r="F193" s="21"/>
      <c r="G193" s="21"/>
      <c r="H193" s="21"/>
      <c r="I193" s="21"/>
      <c r="J193" s="21"/>
      <c r="K193" s="21"/>
      <c r="L193" s="21"/>
      <c r="M193" s="21"/>
      <c r="N193" s="21"/>
      <c r="O193" s="21"/>
      <c r="P193" s="21"/>
      <c r="Q193" s="21"/>
      <c r="R193" s="21"/>
      <c r="S193" s="21"/>
      <c r="T193" s="21"/>
      <c r="U193" s="26">
        <v>3.0</v>
      </c>
      <c r="V193" s="21" t="s">
        <v>878</v>
      </c>
      <c r="W193" s="21" t="s">
        <v>879</v>
      </c>
      <c r="X193" s="26">
        <v>6.0</v>
      </c>
      <c r="Y193" s="21" t="s">
        <v>894</v>
      </c>
      <c r="Z193" s="26">
        <v>6.0</v>
      </c>
      <c r="AA193" s="21" t="s">
        <v>852</v>
      </c>
      <c r="AB193" s="21" t="s">
        <v>513</v>
      </c>
      <c r="AC193" s="27" t="s">
        <v>901</v>
      </c>
      <c r="AD193" s="21"/>
    </row>
    <row r="194">
      <c r="A194" s="70" t="s">
        <v>446</v>
      </c>
      <c r="B194" s="21"/>
      <c r="C194" s="21"/>
      <c r="D194" s="21"/>
      <c r="E194" s="21"/>
      <c r="F194" s="21"/>
      <c r="G194" s="21"/>
      <c r="H194" s="21"/>
      <c r="I194" s="21"/>
      <c r="J194" s="21"/>
      <c r="K194" s="21"/>
      <c r="L194" s="21"/>
      <c r="M194" s="21"/>
      <c r="N194" s="21"/>
      <c r="O194" s="21"/>
      <c r="P194" s="21"/>
      <c r="Q194" s="21"/>
      <c r="R194" s="21"/>
      <c r="S194" s="21"/>
      <c r="T194" s="21"/>
      <c r="U194" s="26">
        <v>3.0</v>
      </c>
      <c r="V194" s="21" t="s">
        <v>878</v>
      </c>
      <c r="W194" s="21" t="s">
        <v>879</v>
      </c>
      <c r="X194" s="26">
        <v>7.0</v>
      </c>
      <c r="Y194" s="21" t="s">
        <v>902</v>
      </c>
      <c r="Z194" s="26">
        <v>7.0</v>
      </c>
      <c r="AA194" s="21" t="s">
        <v>852</v>
      </c>
      <c r="AB194" s="21" t="s">
        <v>496</v>
      </c>
      <c r="AC194" s="27" t="s">
        <v>903</v>
      </c>
      <c r="AD194" s="21"/>
    </row>
    <row r="195">
      <c r="A195" s="70" t="s">
        <v>446</v>
      </c>
      <c r="B195" s="21"/>
      <c r="C195" s="21"/>
      <c r="D195" s="21"/>
      <c r="E195" s="21"/>
      <c r="F195" s="21"/>
      <c r="G195" s="21"/>
      <c r="H195" s="21"/>
      <c r="I195" s="21"/>
      <c r="J195" s="21"/>
      <c r="K195" s="21"/>
      <c r="L195" s="21"/>
      <c r="M195" s="21"/>
      <c r="N195" s="21"/>
      <c r="O195" s="21"/>
      <c r="P195" s="21"/>
      <c r="Q195" s="21"/>
      <c r="R195" s="21"/>
      <c r="S195" s="21"/>
      <c r="T195" s="21"/>
      <c r="U195" s="26">
        <v>3.0</v>
      </c>
      <c r="V195" s="21" t="s">
        <v>878</v>
      </c>
      <c r="W195" s="21" t="s">
        <v>879</v>
      </c>
      <c r="X195" s="26">
        <v>7.0</v>
      </c>
      <c r="Y195" s="21" t="s">
        <v>902</v>
      </c>
      <c r="Z195" s="26">
        <v>7.0</v>
      </c>
      <c r="AA195" s="21" t="s">
        <v>852</v>
      </c>
      <c r="AB195" s="21" t="s">
        <v>499</v>
      </c>
      <c r="AC195" s="27" t="s">
        <v>904</v>
      </c>
      <c r="AD195" s="21"/>
    </row>
    <row r="196">
      <c r="A196" s="70" t="s">
        <v>446</v>
      </c>
      <c r="B196" s="21"/>
      <c r="C196" s="21"/>
      <c r="D196" s="21"/>
      <c r="E196" s="21"/>
      <c r="F196" s="21"/>
      <c r="G196" s="21"/>
      <c r="H196" s="21"/>
      <c r="I196" s="21"/>
      <c r="J196" s="21"/>
      <c r="K196" s="21"/>
      <c r="L196" s="21"/>
      <c r="M196" s="21"/>
      <c r="N196" s="21"/>
      <c r="O196" s="21"/>
      <c r="P196" s="21"/>
      <c r="Q196" s="21"/>
      <c r="R196" s="21"/>
      <c r="S196" s="21"/>
      <c r="T196" s="21"/>
      <c r="U196" s="26">
        <v>3.0</v>
      </c>
      <c r="V196" s="21" t="s">
        <v>878</v>
      </c>
      <c r="W196" s="21" t="s">
        <v>879</v>
      </c>
      <c r="X196" s="26">
        <v>7.0</v>
      </c>
      <c r="Y196" s="21" t="s">
        <v>902</v>
      </c>
      <c r="Z196" s="26">
        <v>7.0</v>
      </c>
      <c r="AA196" s="21" t="s">
        <v>852</v>
      </c>
      <c r="AB196" s="21" t="s">
        <v>477</v>
      </c>
      <c r="AC196" s="27" t="s">
        <v>905</v>
      </c>
      <c r="AD196" s="21"/>
    </row>
    <row r="197">
      <c r="A197" s="70" t="s">
        <v>446</v>
      </c>
      <c r="B197" s="21"/>
      <c r="C197" s="21"/>
      <c r="D197" s="21"/>
      <c r="E197" s="21"/>
      <c r="F197" s="21"/>
      <c r="G197" s="21"/>
      <c r="H197" s="21"/>
      <c r="I197" s="21"/>
      <c r="J197" s="21"/>
      <c r="K197" s="21"/>
      <c r="L197" s="21"/>
      <c r="M197" s="21"/>
      <c r="N197" s="21"/>
      <c r="O197" s="21"/>
      <c r="P197" s="21"/>
      <c r="Q197" s="21"/>
      <c r="R197" s="21"/>
      <c r="S197" s="21"/>
      <c r="T197" s="21"/>
      <c r="U197" s="26">
        <v>3.0</v>
      </c>
      <c r="V197" s="21" t="s">
        <v>878</v>
      </c>
      <c r="W197" s="21" t="s">
        <v>879</v>
      </c>
      <c r="X197" s="26">
        <v>7.0</v>
      </c>
      <c r="Y197" s="21" t="s">
        <v>902</v>
      </c>
      <c r="Z197" s="26">
        <v>7.0</v>
      </c>
      <c r="AA197" s="21" t="s">
        <v>852</v>
      </c>
      <c r="AB197" s="21" t="s">
        <v>504</v>
      </c>
      <c r="AC197" s="27" t="s">
        <v>906</v>
      </c>
      <c r="AD197" s="21"/>
    </row>
    <row r="198">
      <c r="A198" s="70" t="s">
        <v>446</v>
      </c>
      <c r="B198" s="21"/>
      <c r="C198" s="21"/>
      <c r="D198" s="21"/>
      <c r="E198" s="21"/>
      <c r="F198" s="21"/>
      <c r="G198" s="21"/>
      <c r="H198" s="21"/>
      <c r="I198" s="21"/>
      <c r="J198" s="21"/>
      <c r="K198" s="21"/>
      <c r="L198" s="21"/>
      <c r="M198" s="21"/>
      <c r="N198" s="21"/>
      <c r="O198" s="21"/>
      <c r="P198" s="21"/>
      <c r="Q198" s="21"/>
      <c r="R198" s="21"/>
      <c r="S198" s="21"/>
      <c r="T198" s="21"/>
      <c r="U198" s="26">
        <v>3.0</v>
      </c>
      <c r="V198" s="21" t="s">
        <v>878</v>
      </c>
      <c r="W198" s="21" t="s">
        <v>879</v>
      </c>
      <c r="X198" s="26">
        <v>8.0</v>
      </c>
      <c r="Y198" s="21" t="s">
        <v>907</v>
      </c>
      <c r="Z198" s="26">
        <v>8.0</v>
      </c>
      <c r="AA198" s="21" t="s">
        <v>852</v>
      </c>
      <c r="AB198" s="21" t="s">
        <v>496</v>
      </c>
      <c r="AC198" s="27" t="s">
        <v>908</v>
      </c>
      <c r="AD198" s="21"/>
    </row>
    <row r="199">
      <c r="A199" s="70" t="s">
        <v>446</v>
      </c>
      <c r="B199" s="21"/>
      <c r="C199" s="21"/>
      <c r="D199" s="21"/>
      <c r="E199" s="21"/>
      <c r="F199" s="21"/>
      <c r="G199" s="21"/>
      <c r="H199" s="21"/>
      <c r="I199" s="21"/>
      <c r="J199" s="21"/>
      <c r="K199" s="21"/>
      <c r="L199" s="21"/>
      <c r="M199" s="21"/>
      <c r="N199" s="21"/>
      <c r="O199" s="21"/>
      <c r="P199" s="21"/>
      <c r="Q199" s="21"/>
      <c r="R199" s="21"/>
      <c r="S199" s="21"/>
      <c r="T199" s="21"/>
      <c r="U199" s="26">
        <v>4.0</v>
      </c>
      <c r="V199" s="21" t="s">
        <v>909</v>
      </c>
      <c r="W199" s="21" t="s">
        <v>910</v>
      </c>
      <c r="X199" s="26">
        <v>1.0</v>
      </c>
      <c r="Y199" s="21" t="s">
        <v>911</v>
      </c>
      <c r="Z199" s="26">
        <v>1.0</v>
      </c>
      <c r="AA199" s="21" t="s">
        <v>852</v>
      </c>
      <c r="AB199" s="21" t="s">
        <v>496</v>
      </c>
      <c r="AC199" s="27" t="s">
        <v>912</v>
      </c>
      <c r="AD199" s="21"/>
    </row>
    <row r="200">
      <c r="A200" s="70" t="s">
        <v>446</v>
      </c>
      <c r="B200" s="21"/>
      <c r="C200" s="21"/>
      <c r="D200" s="21"/>
      <c r="E200" s="21"/>
      <c r="F200" s="21"/>
      <c r="G200" s="21"/>
      <c r="H200" s="21"/>
      <c r="I200" s="21"/>
      <c r="J200" s="21"/>
      <c r="K200" s="21"/>
      <c r="L200" s="21"/>
      <c r="M200" s="21"/>
      <c r="N200" s="21"/>
      <c r="O200" s="21"/>
      <c r="P200" s="21"/>
      <c r="Q200" s="21"/>
      <c r="R200" s="21"/>
      <c r="S200" s="21"/>
      <c r="T200" s="21"/>
      <c r="U200" s="26">
        <v>4.0</v>
      </c>
      <c r="V200" s="21" t="s">
        <v>909</v>
      </c>
      <c r="W200" s="21" t="s">
        <v>910</v>
      </c>
      <c r="X200" s="26">
        <v>1.0</v>
      </c>
      <c r="Y200" s="21" t="s">
        <v>911</v>
      </c>
      <c r="Z200" s="26">
        <v>1.0</v>
      </c>
      <c r="AA200" s="21" t="s">
        <v>852</v>
      </c>
      <c r="AB200" s="21" t="s">
        <v>499</v>
      </c>
      <c r="AC200" s="27" t="s">
        <v>913</v>
      </c>
      <c r="AD200" s="21"/>
    </row>
    <row r="201">
      <c r="A201" s="70" t="s">
        <v>446</v>
      </c>
      <c r="B201" s="21"/>
      <c r="C201" s="21"/>
      <c r="D201" s="21"/>
      <c r="E201" s="21"/>
      <c r="F201" s="21"/>
      <c r="G201" s="21"/>
      <c r="H201" s="21"/>
      <c r="I201" s="21"/>
      <c r="J201" s="21"/>
      <c r="K201" s="21"/>
      <c r="L201" s="21"/>
      <c r="M201" s="21"/>
      <c r="N201" s="21"/>
      <c r="O201" s="21"/>
      <c r="P201" s="21"/>
      <c r="Q201" s="21"/>
      <c r="R201" s="21"/>
      <c r="S201" s="21"/>
      <c r="T201" s="21"/>
      <c r="U201" s="26">
        <v>4.0</v>
      </c>
      <c r="V201" s="21" t="s">
        <v>909</v>
      </c>
      <c r="W201" s="21" t="s">
        <v>910</v>
      </c>
      <c r="X201" s="26">
        <v>1.0</v>
      </c>
      <c r="Y201" s="21" t="s">
        <v>911</v>
      </c>
      <c r="Z201" s="26">
        <v>1.0</v>
      </c>
      <c r="AA201" s="21" t="s">
        <v>852</v>
      </c>
      <c r="AB201" s="21" t="s">
        <v>477</v>
      </c>
      <c r="AC201" s="27" t="s">
        <v>914</v>
      </c>
      <c r="AD201" s="21"/>
    </row>
    <row r="202">
      <c r="A202" s="70" t="s">
        <v>446</v>
      </c>
      <c r="B202" s="21"/>
      <c r="C202" s="21"/>
      <c r="D202" s="21"/>
      <c r="E202" s="21"/>
      <c r="F202" s="21"/>
      <c r="G202" s="21"/>
      <c r="H202" s="21"/>
      <c r="I202" s="21"/>
      <c r="J202" s="21"/>
      <c r="K202" s="21"/>
      <c r="L202" s="21"/>
      <c r="M202" s="21"/>
      <c r="N202" s="21"/>
      <c r="O202" s="21"/>
      <c r="P202" s="21"/>
      <c r="Q202" s="21"/>
      <c r="R202" s="21"/>
      <c r="S202" s="21"/>
      <c r="T202" s="21"/>
      <c r="U202" s="26">
        <v>4.0</v>
      </c>
      <c r="V202" s="21" t="s">
        <v>909</v>
      </c>
      <c r="W202" s="21" t="s">
        <v>910</v>
      </c>
      <c r="X202" s="26">
        <v>1.0</v>
      </c>
      <c r="Y202" s="21" t="s">
        <v>911</v>
      </c>
      <c r="Z202" s="26">
        <v>1.0</v>
      </c>
      <c r="AA202" s="21" t="s">
        <v>852</v>
      </c>
      <c r="AB202" s="21" t="s">
        <v>504</v>
      </c>
      <c r="AC202" s="27" t="s">
        <v>915</v>
      </c>
      <c r="AD202" s="21"/>
    </row>
    <row r="203">
      <c r="A203" s="70" t="s">
        <v>446</v>
      </c>
      <c r="B203" s="21"/>
      <c r="C203" s="21"/>
      <c r="D203" s="21"/>
      <c r="E203" s="21"/>
      <c r="F203" s="21"/>
      <c r="G203" s="21"/>
      <c r="H203" s="21"/>
      <c r="I203" s="21"/>
      <c r="J203" s="21"/>
      <c r="K203" s="21"/>
      <c r="L203" s="21"/>
      <c r="M203" s="21"/>
      <c r="N203" s="21"/>
      <c r="O203" s="21"/>
      <c r="P203" s="21"/>
      <c r="Q203" s="21"/>
      <c r="R203" s="21"/>
      <c r="S203" s="21"/>
      <c r="T203" s="21"/>
      <c r="U203" s="26">
        <v>4.0</v>
      </c>
      <c r="V203" s="21" t="s">
        <v>909</v>
      </c>
      <c r="W203" s="21" t="s">
        <v>910</v>
      </c>
      <c r="X203" s="26">
        <v>1.0</v>
      </c>
      <c r="Y203" s="21" t="s">
        <v>911</v>
      </c>
      <c r="Z203" s="26">
        <v>1.0</v>
      </c>
      <c r="AA203" s="21" t="s">
        <v>852</v>
      </c>
      <c r="AB203" s="21" t="s">
        <v>507</v>
      </c>
      <c r="AC203" s="27" t="s">
        <v>916</v>
      </c>
      <c r="AD203" s="21"/>
    </row>
    <row r="204">
      <c r="A204" s="70" t="s">
        <v>446</v>
      </c>
      <c r="B204" s="21"/>
      <c r="C204" s="21"/>
      <c r="D204" s="21"/>
      <c r="E204" s="21"/>
      <c r="F204" s="21"/>
      <c r="G204" s="21"/>
      <c r="H204" s="21"/>
      <c r="I204" s="21"/>
      <c r="J204" s="21"/>
      <c r="K204" s="21"/>
      <c r="L204" s="21"/>
      <c r="M204" s="21"/>
      <c r="N204" s="21"/>
      <c r="O204" s="21"/>
      <c r="P204" s="21"/>
      <c r="Q204" s="21"/>
      <c r="R204" s="21"/>
      <c r="S204" s="21"/>
      <c r="T204" s="21"/>
      <c r="U204" s="26">
        <v>4.0</v>
      </c>
      <c r="V204" s="21" t="s">
        <v>909</v>
      </c>
      <c r="W204" s="21" t="s">
        <v>910</v>
      </c>
      <c r="X204" s="26">
        <v>1.0</v>
      </c>
      <c r="Y204" s="21" t="s">
        <v>911</v>
      </c>
      <c r="Z204" s="26">
        <v>1.0</v>
      </c>
      <c r="AA204" s="21" t="s">
        <v>852</v>
      </c>
      <c r="AB204" s="21" t="s">
        <v>510</v>
      </c>
      <c r="AC204" s="27" t="s">
        <v>917</v>
      </c>
      <c r="AD204" s="21"/>
    </row>
    <row r="205">
      <c r="A205" s="70" t="s">
        <v>446</v>
      </c>
      <c r="B205" s="21"/>
      <c r="C205" s="21"/>
      <c r="D205" s="21"/>
      <c r="E205" s="21"/>
      <c r="F205" s="21"/>
      <c r="G205" s="21"/>
      <c r="H205" s="21"/>
      <c r="I205" s="21"/>
      <c r="J205" s="21"/>
      <c r="K205" s="21"/>
      <c r="L205" s="21"/>
      <c r="M205" s="21"/>
      <c r="N205" s="21"/>
      <c r="O205" s="21"/>
      <c r="P205" s="21"/>
      <c r="Q205" s="21"/>
      <c r="R205" s="21"/>
      <c r="S205" s="21"/>
      <c r="T205" s="21"/>
      <c r="U205" s="26">
        <v>4.0</v>
      </c>
      <c r="V205" s="21" t="s">
        <v>909</v>
      </c>
      <c r="W205" s="21" t="s">
        <v>910</v>
      </c>
      <c r="X205" s="26">
        <v>1.0</v>
      </c>
      <c r="Y205" s="21" t="s">
        <v>911</v>
      </c>
      <c r="Z205" s="26">
        <v>1.0</v>
      </c>
      <c r="AA205" s="21" t="s">
        <v>852</v>
      </c>
      <c r="AB205" s="21" t="s">
        <v>513</v>
      </c>
      <c r="AC205" s="27" t="s">
        <v>918</v>
      </c>
      <c r="AD205" s="21"/>
    </row>
    <row r="206">
      <c r="A206" s="70" t="s">
        <v>446</v>
      </c>
      <c r="B206" s="21"/>
      <c r="C206" s="21"/>
      <c r="D206" s="21"/>
      <c r="E206" s="21"/>
      <c r="F206" s="21"/>
      <c r="G206" s="21"/>
      <c r="H206" s="21"/>
      <c r="I206" s="21"/>
      <c r="J206" s="21"/>
      <c r="K206" s="21"/>
      <c r="L206" s="21"/>
      <c r="M206" s="21"/>
      <c r="N206" s="21"/>
      <c r="O206" s="21"/>
      <c r="P206" s="21"/>
      <c r="Q206" s="21"/>
      <c r="R206" s="21"/>
      <c r="S206" s="21"/>
      <c r="T206" s="21"/>
      <c r="U206" s="26">
        <v>4.0</v>
      </c>
      <c r="V206" s="21" t="s">
        <v>909</v>
      </c>
      <c r="W206" s="21" t="s">
        <v>910</v>
      </c>
      <c r="X206" s="26">
        <v>2.0</v>
      </c>
      <c r="Y206" s="21" t="s">
        <v>919</v>
      </c>
      <c r="Z206" s="26">
        <v>2.0</v>
      </c>
      <c r="AA206" s="21" t="s">
        <v>852</v>
      </c>
      <c r="AB206" s="21" t="s">
        <v>496</v>
      </c>
      <c r="AC206" s="27" t="s">
        <v>920</v>
      </c>
      <c r="AD206" s="21"/>
    </row>
    <row r="207">
      <c r="A207" s="70" t="s">
        <v>446</v>
      </c>
      <c r="B207" s="21"/>
      <c r="C207" s="21"/>
      <c r="D207" s="21"/>
      <c r="E207" s="21"/>
      <c r="F207" s="21"/>
      <c r="G207" s="21"/>
      <c r="H207" s="21"/>
      <c r="I207" s="21"/>
      <c r="J207" s="21"/>
      <c r="K207" s="21"/>
      <c r="L207" s="21"/>
      <c r="M207" s="21"/>
      <c r="N207" s="21"/>
      <c r="O207" s="21"/>
      <c r="P207" s="21"/>
      <c r="Q207" s="21"/>
      <c r="R207" s="21"/>
      <c r="S207" s="21"/>
      <c r="T207" s="21"/>
      <c r="U207" s="26">
        <v>4.0</v>
      </c>
      <c r="V207" s="21" t="s">
        <v>909</v>
      </c>
      <c r="W207" s="21" t="s">
        <v>910</v>
      </c>
      <c r="X207" s="26">
        <v>2.0</v>
      </c>
      <c r="Y207" s="21" t="s">
        <v>919</v>
      </c>
      <c r="Z207" s="26">
        <v>2.0</v>
      </c>
      <c r="AA207" s="21" t="s">
        <v>852</v>
      </c>
      <c r="AB207" s="21" t="s">
        <v>499</v>
      </c>
      <c r="AC207" s="27" t="s">
        <v>921</v>
      </c>
      <c r="AD207" s="21"/>
    </row>
    <row r="208">
      <c r="A208" s="70" t="s">
        <v>446</v>
      </c>
      <c r="B208" s="21"/>
      <c r="C208" s="21"/>
      <c r="D208" s="21"/>
      <c r="E208" s="21"/>
      <c r="F208" s="21"/>
      <c r="G208" s="21"/>
      <c r="H208" s="21"/>
      <c r="I208" s="21"/>
      <c r="J208" s="21"/>
      <c r="K208" s="21"/>
      <c r="L208" s="21"/>
      <c r="M208" s="21"/>
      <c r="N208" s="21"/>
      <c r="O208" s="21"/>
      <c r="P208" s="21"/>
      <c r="Q208" s="21"/>
      <c r="R208" s="21"/>
      <c r="S208" s="21"/>
      <c r="T208" s="21"/>
      <c r="U208" s="26">
        <v>4.0</v>
      </c>
      <c r="V208" s="21" t="s">
        <v>909</v>
      </c>
      <c r="W208" s="21" t="s">
        <v>910</v>
      </c>
      <c r="X208" s="26">
        <v>2.0</v>
      </c>
      <c r="Y208" s="21" t="s">
        <v>919</v>
      </c>
      <c r="Z208" s="26">
        <v>2.0</v>
      </c>
      <c r="AA208" s="21" t="s">
        <v>852</v>
      </c>
      <c r="AB208" s="21" t="s">
        <v>477</v>
      </c>
      <c r="AC208" s="27" t="s">
        <v>922</v>
      </c>
      <c r="AD208" s="21"/>
    </row>
    <row r="209">
      <c r="A209" s="70" t="s">
        <v>446</v>
      </c>
      <c r="B209" s="21"/>
      <c r="C209" s="21"/>
      <c r="D209" s="21"/>
      <c r="E209" s="21"/>
      <c r="F209" s="21"/>
      <c r="G209" s="21"/>
      <c r="H209" s="21"/>
      <c r="I209" s="21"/>
      <c r="J209" s="21"/>
      <c r="K209" s="21"/>
      <c r="L209" s="21"/>
      <c r="M209" s="21"/>
      <c r="N209" s="21"/>
      <c r="O209" s="21"/>
      <c r="P209" s="21"/>
      <c r="Q209" s="21"/>
      <c r="R209" s="21"/>
      <c r="S209" s="21"/>
      <c r="T209" s="21"/>
      <c r="U209" s="26">
        <v>4.0</v>
      </c>
      <c r="V209" s="21" t="s">
        <v>909</v>
      </c>
      <c r="W209" s="21" t="s">
        <v>910</v>
      </c>
      <c r="X209" s="26">
        <v>2.0</v>
      </c>
      <c r="Y209" s="21" t="s">
        <v>919</v>
      </c>
      <c r="Z209" s="26">
        <v>2.0</v>
      </c>
      <c r="AA209" s="21" t="s">
        <v>852</v>
      </c>
      <c r="AB209" s="21" t="s">
        <v>504</v>
      </c>
      <c r="AC209" s="27" t="s">
        <v>923</v>
      </c>
      <c r="AD209" s="21"/>
    </row>
    <row r="210">
      <c r="A210" s="70" t="s">
        <v>446</v>
      </c>
      <c r="B210" s="21"/>
      <c r="C210" s="21"/>
      <c r="D210" s="21"/>
      <c r="E210" s="21"/>
      <c r="F210" s="21"/>
      <c r="G210" s="21"/>
      <c r="H210" s="21"/>
      <c r="I210" s="21"/>
      <c r="J210" s="21"/>
      <c r="K210" s="21"/>
      <c r="L210" s="21"/>
      <c r="M210" s="21"/>
      <c r="N210" s="21"/>
      <c r="O210" s="21"/>
      <c r="P210" s="21"/>
      <c r="Q210" s="21"/>
      <c r="R210" s="21"/>
      <c r="S210" s="21"/>
      <c r="T210" s="21"/>
      <c r="U210" s="26">
        <v>4.0</v>
      </c>
      <c r="V210" s="21" t="s">
        <v>909</v>
      </c>
      <c r="W210" s="21" t="s">
        <v>910</v>
      </c>
      <c r="X210" s="26">
        <v>2.0</v>
      </c>
      <c r="Y210" s="21" t="s">
        <v>919</v>
      </c>
      <c r="Z210" s="26">
        <v>2.0</v>
      </c>
      <c r="AA210" s="21" t="s">
        <v>852</v>
      </c>
      <c r="AB210" s="21" t="s">
        <v>507</v>
      </c>
      <c r="AC210" s="27" t="s">
        <v>924</v>
      </c>
      <c r="AD210" s="21"/>
    </row>
    <row r="211">
      <c r="A211" s="70" t="s">
        <v>446</v>
      </c>
      <c r="B211" s="21"/>
      <c r="C211" s="21"/>
      <c r="D211" s="21"/>
      <c r="E211" s="21"/>
      <c r="F211" s="21"/>
      <c r="G211" s="21"/>
      <c r="H211" s="21"/>
      <c r="I211" s="21"/>
      <c r="J211" s="21"/>
      <c r="K211" s="21"/>
      <c r="L211" s="21"/>
      <c r="M211" s="21"/>
      <c r="N211" s="21"/>
      <c r="O211" s="21"/>
      <c r="P211" s="21"/>
      <c r="Q211" s="21"/>
      <c r="R211" s="21"/>
      <c r="S211" s="21"/>
      <c r="T211" s="21"/>
      <c r="U211" s="26">
        <v>4.0</v>
      </c>
      <c r="V211" s="21" t="s">
        <v>909</v>
      </c>
      <c r="W211" s="21" t="s">
        <v>910</v>
      </c>
      <c r="X211" s="26">
        <v>2.0</v>
      </c>
      <c r="Y211" s="21" t="s">
        <v>919</v>
      </c>
      <c r="Z211" s="26">
        <v>2.0</v>
      </c>
      <c r="AA211" s="21" t="s">
        <v>852</v>
      </c>
      <c r="AB211" s="21" t="s">
        <v>510</v>
      </c>
      <c r="AC211" s="27" t="s">
        <v>925</v>
      </c>
      <c r="AD211" s="21"/>
    </row>
    <row r="212">
      <c r="A212" s="70" t="s">
        <v>446</v>
      </c>
      <c r="B212" s="21"/>
      <c r="C212" s="21"/>
      <c r="D212" s="21"/>
      <c r="E212" s="21"/>
      <c r="F212" s="21"/>
      <c r="G212" s="21"/>
      <c r="H212" s="21"/>
      <c r="I212" s="21"/>
      <c r="J212" s="21"/>
      <c r="K212" s="21"/>
      <c r="L212" s="21"/>
      <c r="M212" s="21"/>
      <c r="N212" s="21"/>
      <c r="O212" s="21"/>
      <c r="P212" s="21"/>
      <c r="Q212" s="21"/>
      <c r="R212" s="21"/>
      <c r="S212" s="21"/>
      <c r="T212" s="21"/>
      <c r="U212" s="26">
        <v>4.0</v>
      </c>
      <c r="V212" s="21" t="s">
        <v>909</v>
      </c>
      <c r="W212" s="21" t="s">
        <v>910</v>
      </c>
      <c r="X212" s="26">
        <v>2.0</v>
      </c>
      <c r="Y212" s="21" t="s">
        <v>919</v>
      </c>
      <c r="Z212" s="26">
        <v>2.0</v>
      </c>
      <c r="AA212" s="21" t="s">
        <v>852</v>
      </c>
      <c r="AB212" s="21" t="s">
        <v>513</v>
      </c>
      <c r="AC212" s="27" t="s">
        <v>926</v>
      </c>
      <c r="AD212" s="21"/>
    </row>
    <row r="213">
      <c r="A213" s="70" t="s">
        <v>446</v>
      </c>
      <c r="B213" s="21"/>
      <c r="C213" s="21"/>
      <c r="D213" s="21"/>
      <c r="E213" s="21"/>
      <c r="F213" s="21"/>
      <c r="G213" s="21"/>
      <c r="H213" s="21"/>
      <c r="I213" s="21"/>
      <c r="J213" s="21"/>
      <c r="K213" s="21"/>
      <c r="L213" s="21"/>
      <c r="M213" s="21"/>
      <c r="N213" s="21"/>
      <c r="O213" s="21"/>
      <c r="P213" s="21"/>
      <c r="Q213" s="21"/>
      <c r="R213" s="21"/>
      <c r="S213" s="21"/>
      <c r="T213" s="21"/>
      <c r="U213" s="26">
        <v>4.0</v>
      </c>
      <c r="V213" s="21" t="s">
        <v>909</v>
      </c>
      <c r="W213" s="21" t="s">
        <v>910</v>
      </c>
      <c r="X213" s="26">
        <v>3.0</v>
      </c>
      <c r="Y213" s="27" t="s">
        <v>927</v>
      </c>
      <c r="Z213" s="21"/>
      <c r="AA213" s="21"/>
      <c r="AB213" s="21"/>
      <c r="AC213" s="21"/>
      <c r="AD213" s="21"/>
    </row>
    <row r="214">
      <c r="A214" s="70" t="s">
        <v>446</v>
      </c>
      <c r="B214" s="21"/>
      <c r="C214" s="21"/>
      <c r="D214" s="21"/>
      <c r="E214" s="21"/>
      <c r="F214" s="21"/>
      <c r="G214" s="21"/>
      <c r="H214" s="21"/>
      <c r="I214" s="21"/>
      <c r="J214" s="21"/>
      <c r="K214" s="21"/>
      <c r="L214" s="21"/>
      <c r="M214" s="21"/>
      <c r="N214" s="21"/>
      <c r="O214" s="21"/>
      <c r="P214" s="21"/>
      <c r="Q214" s="21"/>
      <c r="R214" s="21"/>
      <c r="S214" s="21"/>
      <c r="T214" s="21"/>
      <c r="U214" s="26">
        <v>4.0</v>
      </c>
      <c r="V214" s="21" t="s">
        <v>909</v>
      </c>
      <c r="W214" s="21" t="s">
        <v>910</v>
      </c>
      <c r="X214" s="26">
        <v>4.0</v>
      </c>
      <c r="Y214" s="27" t="s">
        <v>928</v>
      </c>
      <c r="Z214" s="21"/>
      <c r="AA214" s="21"/>
      <c r="AB214" s="21"/>
      <c r="AC214" s="21"/>
      <c r="AD214" s="21"/>
    </row>
    <row r="215">
      <c r="A215" s="70" t="s">
        <v>446</v>
      </c>
      <c r="B215" s="21"/>
      <c r="C215" s="21"/>
      <c r="D215" s="21"/>
      <c r="E215" s="21"/>
      <c r="F215" s="21"/>
      <c r="G215" s="21"/>
      <c r="H215" s="21"/>
      <c r="I215" s="21"/>
      <c r="J215" s="21"/>
      <c r="K215" s="21"/>
      <c r="L215" s="21"/>
      <c r="M215" s="21"/>
      <c r="N215" s="21"/>
      <c r="O215" s="21"/>
      <c r="P215" s="21"/>
      <c r="Q215" s="21"/>
      <c r="R215" s="21"/>
      <c r="S215" s="21"/>
      <c r="T215" s="21"/>
      <c r="U215" s="26">
        <v>4.0</v>
      </c>
      <c r="V215" s="21" t="s">
        <v>909</v>
      </c>
      <c r="W215" s="21" t="s">
        <v>910</v>
      </c>
      <c r="X215" s="26">
        <v>5.0</v>
      </c>
      <c r="Y215" s="27" t="s">
        <v>929</v>
      </c>
      <c r="Z215" s="21"/>
      <c r="AA215" s="21"/>
      <c r="AB215" s="21"/>
      <c r="AC215" s="21"/>
      <c r="AD215" s="21"/>
    </row>
    <row r="216">
      <c r="A216" s="70" t="s">
        <v>446</v>
      </c>
      <c r="B216" s="21"/>
      <c r="C216" s="21"/>
      <c r="D216" s="21"/>
      <c r="E216" s="21"/>
      <c r="F216" s="21"/>
      <c r="G216" s="21"/>
      <c r="H216" s="21"/>
      <c r="I216" s="21"/>
      <c r="J216" s="21"/>
      <c r="K216" s="21"/>
      <c r="L216" s="21"/>
      <c r="M216" s="21"/>
      <c r="N216" s="21"/>
      <c r="O216" s="21"/>
      <c r="P216" s="21"/>
      <c r="Q216" s="21"/>
      <c r="R216" s="21"/>
      <c r="S216" s="21"/>
      <c r="T216" s="21"/>
      <c r="U216" s="26">
        <v>4.0</v>
      </c>
      <c r="V216" s="21" t="s">
        <v>909</v>
      </c>
      <c r="W216" s="21" t="s">
        <v>910</v>
      </c>
      <c r="X216" s="26">
        <v>6.0</v>
      </c>
      <c r="Y216" s="27" t="s">
        <v>930</v>
      </c>
      <c r="Z216" s="21"/>
      <c r="AA216" s="21"/>
      <c r="AB216" s="21"/>
      <c r="AC216" s="21"/>
      <c r="AD216" s="21"/>
    </row>
    <row r="217">
      <c r="A217" s="70" t="s">
        <v>446</v>
      </c>
      <c r="B217" s="21"/>
      <c r="C217" s="21"/>
      <c r="D217" s="21"/>
      <c r="E217" s="21"/>
      <c r="F217" s="21"/>
      <c r="G217" s="21"/>
      <c r="H217" s="21"/>
      <c r="I217" s="21"/>
      <c r="J217" s="21"/>
      <c r="K217" s="21"/>
      <c r="L217" s="21"/>
      <c r="M217" s="21"/>
      <c r="N217" s="21"/>
      <c r="O217" s="21"/>
      <c r="P217" s="21"/>
      <c r="Q217" s="21"/>
      <c r="R217" s="21"/>
      <c r="S217" s="21"/>
      <c r="T217" s="21"/>
      <c r="U217" s="26">
        <v>4.0</v>
      </c>
      <c r="V217" s="21" t="s">
        <v>909</v>
      </c>
      <c r="W217" s="21" t="s">
        <v>910</v>
      </c>
      <c r="X217" s="26">
        <v>7.0</v>
      </c>
      <c r="Y217" s="27" t="s">
        <v>931</v>
      </c>
      <c r="Z217" s="21"/>
      <c r="AA217" s="21"/>
      <c r="AB217" s="21"/>
      <c r="AC217" s="21"/>
      <c r="AD217" s="21"/>
    </row>
    <row r="218">
      <c r="A218" s="70" t="s">
        <v>446</v>
      </c>
      <c r="B218" s="21"/>
      <c r="C218" s="21"/>
      <c r="D218" s="21"/>
      <c r="E218" s="21"/>
      <c r="F218" s="21"/>
      <c r="G218" s="21"/>
      <c r="H218" s="21"/>
      <c r="I218" s="21"/>
      <c r="J218" s="21"/>
      <c r="K218" s="21"/>
      <c r="L218" s="21"/>
      <c r="M218" s="21"/>
      <c r="N218" s="21"/>
      <c r="O218" s="21"/>
      <c r="P218" s="21"/>
      <c r="Q218" s="21"/>
      <c r="R218" s="21"/>
      <c r="S218" s="21"/>
      <c r="T218" s="21"/>
      <c r="U218" s="26">
        <v>4.0</v>
      </c>
      <c r="V218" s="21" t="s">
        <v>909</v>
      </c>
      <c r="W218" s="21" t="s">
        <v>910</v>
      </c>
      <c r="X218" s="26">
        <v>8.0</v>
      </c>
      <c r="Y218" s="27" t="s">
        <v>932</v>
      </c>
      <c r="Z218" s="21"/>
      <c r="AA218" s="21"/>
      <c r="AB218" s="21"/>
      <c r="AC218" s="21"/>
      <c r="AD218" s="21"/>
    </row>
    <row r="219">
      <c r="A219" s="70" t="s">
        <v>446</v>
      </c>
      <c r="B219" s="21"/>
      <c r="C219" s="21"/>
      <c r="D219" s="21"/>
      <c r="E219" s="21"/>
      <c r="F219" s="21"/>
      <c r="G219" s="21"/>
      <c r="H219" s="21"/>
      <c r="I219" s="21"/>
      <c r="J219" s="21"/>
      <c r="K219" s="21"/>
      <c r="L219" s="21"/>
      <c r="M219" s="21"/>
      <c r="N219" s="21"/>
      <c r="O219" s="21"/>
      <c r="P219" s="21"/>
      <c r="Q219" s="21"/>
      <c r="R219" s="21"/>
      <c r="S219" s="21"/>
      <c r="T219" s="21"/>
      <c r="U219" s="26">
        <v>5.0</v>
      </c>
      <c r="V219" s="21" t="s">
        <v>933</v>
      </c>
      <c r="W219" s="21" t="s">
        <v>934</v>
      </c>
      <c r="X219" s="26">
        <v>1.0</v>
      </c>
      <c r="Y219" s="27" t="s">
        <v>935</v>
      </c>
      <c r="Z219" s="21"/>
      <c r="AA219" s="21"/>
      <c r="AB219" s="21"/>
      <c r="AC219" s="21"/>
      <c r="AD219" s="21"/>
    </row>
    <row r="220">
      <c r="A220" s="70" t="s">
        <v>446</v>
      </c>
      <c r="B220" s="21"/>
      <c r="C220" s="21"/>
      <c r="D220" s="21"/>
      <c r="E220" s="21"/>
      <c r="F220" s="21"/>
      <c r="G220" s="21"/>
      <c r="H220" s="21"/>
      <c r="I220" s="21"/>
      <c r="J220" s="21"/>
      <c r="K220" s="21"/>
      <c r="L220" s="21"/>
      <c r="M220" s="21"/>
      <c r="N220" s="21"/>
      <c r="O220" s="21"/>
      <c r="P220" s="21"/>
      <c r="Q220" s="21"/>
      <c r="R220" s="21"/>
      <c r="S220" s="21"/>
      <c r="T220" s="21"/>
      <c r="U220" s="26">
        <v>5.0</v>
      </c>
      <c r="V220" s="21" t="s">
        <v>933</v>
      </c>
      <c r="W220" s="21" t="s">
        <v>934</v>
      </c>
      <c r="X220" s="26">
        <v>2.0</v>
      </c>
      <c r="Y220" s="27" t="s">
        <v>936</v>
      </c>
      <c r="Z220" s="21"/>
      <c r="AA220" s="21"/>
      <c r="AB220" s="21"/>
      <c r="AC220" s="21"/>
      <c r="AD220" s="21"/>
    </row>
    <row r="221">
      <c r="A221" s="70" t="s">
        <v>446</v>
      </c>
      <c r="B221" s="21"/>
      <c r="C221" s="21"/>
      <c r="D221" s="21"/>
      <c r="E221" s="21"/>
      <c r="F221" s="21"/>
      <c r="G221" s="21"/>
      <c r="H221" s="21"/>
      <c r="I221" s="21"/>
      <c r="J221" s="21"/>
      <c r="K221" s="21"/>
      <c r="L221" s="21"/>
      <c r="M221" s="21"/>
      <c r="N221" s="21"/>
      <c r="O221" s="21"/>
      <c r="P221" s="21"/>
      <c r="Q221" s="21"/>
      <c r="R221" s="21"/>
      <c r="S221" s="21"/>
      <c r="T221" s="21"/>
      <c r="U221" s="26">
        <v>5.0</v>
      </c>
      <c r="V221" s="21" t="s">
        <v>933</v>
      </c>
      <c r="W221" s="21" t="s">
        <v>934</v>
      </c>
      <c r="X221" s="26">
        <v>3.0</v>
      </c>
      <c r="Y221" s="27" t="s">
        <v>937</v>
      </c>
      <c r="Z221" s="21"/>
      <c r="AA221" s="21"/>
      <c r="AB221" s="21"/>
      <c r="AC221" s="21"/>
      <c r="AD221" s="21"/>
    </row>
    <row r="222">
      <c r="A222" s="70" t="s">
        <v>446</v>
      </c>
      <c r="B222" s="21"/>
      <c r="C222" s="21"/>
      <c r="D222" s="21"/>
      <c r="E222" s="21"/>
      <c r="F222" s="21"/>
      <c r="G222" s="21"/>
      <c r="H222" s="21"/>
      <c r="I222" s="21"/>
      <c r="J222" s="21"/>
      <c r="K222" s="21"/>
      <c r="L222" s="21"/>
      <c r="M222" s="21"/>
      <c r="N222" s="21"/>
      <c r="O222" s="21"/>
      <c r="P222" s="21"/>
      <c r="Q222" s="21"/>
      <c r="R222" s="21"/>
      <c r="S222" s="21"/>
      <c r="T222" s="21"/>
      <c r="U222" s="26">
        <v>5.0</v>
      </c>
      <c r="V222" s="21" t="s">
        <v>933</v>
      </c>
      <c r="W222" s="21" t="s">
        <v>934</v>
      </c>
      <c r="X222" s="26">
        <v>4.0</v>
      </c>
      <c r="Y222" s="27" t="s">
        <v>938</v>
      </c>
      <c r="Z222" s="21"/>
      <c r="AA222" s="21"/>
      <c r="AB222" s="21"/>
      <c r="AC222" s="21"/>
      <c r="AD222" s="21"/>
    </row>
    <row r="223">
      <c r="A223" s="70" t="s">
        <v>446</v>
      </c>
      <c r="B223" s="21"/>
      <c r="C223" s="21"/>
      <c r="D223" s="21"/>
      <c r="E223" s="21"/>
      <c r="F223" s="21"/>
      <c r="G223" s="21"/>
      <c r="H223" s="21"/>
      <c r="I223" s="21"/>
      <c r="J223" s="21"/>
      <c r="K223" s="21"/>
      <c r="L223" s="21"/>
      <c r="M223" s="21"/>
      <c r="N223" s="21"/>
      <c r="O223" s="21"/>
      <c r="P223" s="21"/>
      <c r="Q223" s="21"/>
      <c r="R223" s="21"/>
      <c r="S223" s="21"/>
      <c r="T223" s="21"/>
      <c r="U223" s="26">
        <v>5.0</v>
      </c>
      <c r="V223" s="21" t="s">
        <v>933</v>
      </c>
      <c r="W223" s="21" t="s">
        <v>934</v>
      </c>
      <c r="X223" s="26">
        <v>5.0</v>
      </c>
      <c r="Y223" s="27" t="s">
        <v>939</v>
      </c>
      <c r="Z223" s="21"/>
      <c r="AA223" s="21"/>
      <c r="AB223" s="21"/>
      <c r="AC223" s="21"/>
      <c r="AD223" s="21"/>
    </row>
    <row r="224">
      <c r="A224" s="70" t="s">
        <v>446</v>
      </c>
      <c r="B224" s="21"/>
      <c r="C224" s="21"/>
      <c r="D224" s="21"/>
      <c r="E224" s="21"/>
      <c r="F224" s="21"/>
      <c r="G224" s="21"/>
      <c r="H224" s="21"/>
      <c r="I224" s="21"/>
      <c r="J224" s="21"/>
      <c r="K224" s="21"/>
      <c r="L224" s="21"/>
      <c r="M224" s="21"/>
      <c r="N224" s="21"/>
      <c r="O224" s="21"/>
      <c r="P224" s="21"/>
      <c r="Q224" s="21"/>
      <c r="R224" s="21"/>
      <c r="S224" s="21"/>
      <c r="T224" s="21"/>
      <c r="U224" s="26">
        <v>5.0</v>
      </c>
      <c r="V224" s="21" t="s">
        <v>933</v>
      </c>
      <c r="W224" s="21" t="s">
        <v>934</v>
      </c>
      <c r="X224" s="26">
        <v>6.0</v>
      </c>
      <c r="Y224" s="27" t="s">
        <v>940</v>
      </c>
      <c r="Z224" s="21"/>
      <c r="AA224" s="21"/>
      <c r="AB224" s="21"/>
      <c r="AC224" s="21"/>
      <c r="AD224" s="21"/>
    </row>
    <row r="225">
      <c r="A225" s="70" t="s">
        <v>446</v>
      </c>
      <c r="B225" s="21"/>
      <c r="C225" s="21"/>
      <c r="D225" s="21"/>
      <c r="E225" s="21"/>
      <c r="F225" s="21"/>
      <c r="G225" s="21"/>
      <c r="H225" s="21"/>
      <c r="I225" s="21"/>
      <c r="J225" s="21"/>
      <c r="K225" s="21"/>
      <c r="L225" s="21"/>
      <c r="M225" s="21"/>
      <c r="N225" s="21"/>
      <c r="O225" s="21"/>
      <c r="P225" s="21"/>
      <c r="Q225" s="21"/>
      <c r="R225" s="21"/>
      <c r="S225" s="21"/>
      <c r="T225" s="21"/>
      <c r="U225" s="26">
        <v>5.0</v>
      </c>
      <c r="V225" s="21" t="s">
        <v>933</v>
      </c>
      <c r="W225" s="21" t="s">
        <v>934</v>
      </c>
      <c r="X225" s="26">
        <v>7.0</v>
      </c>
      <c r="Y225" s="27" t="s">
        <v>941</v>
      </c>
      <c r="Z225" s="21"/>
      <c r="AA225" s="21"/>
      <c r="AB225" s="21"/>
      <c r="AC225" s="21"/>
      <c r="AD225" s="21"/>
    </row>
    <row r="226">
      <c r="A226" s="70" t="s">
        <v>446</v>
      </c>
      <c r="B226" s="21"/>
      <c r="C226" s="21"/>
      <c r="D226" s="21"/>
      <c r="E226" s="21"/>
      <c r="F226" s="21"/>
      <c r="G226" s="21"/>
      <c r="H226" s="21"/>
      <c r="I226" s="21"/>
      <c r="J226" s="21"/>
      <c r="K226" s="21"/>
      <c r="L226" s="21"/>
      <c r="M226" s="21"/>
      <c r="N226" s="21"/>
      <c r="O226" s="21"/>
      <c r="P226" s="21"/>
      <c r="Q226" s="21"/>
      <c r="R226" s="21"/>
      <c r="S226" s="21"/>
      <c r="T226" s="21"/>
      <c r="U226" s="26">
        <v>6.0</v>
      </c>
      <c r="V226" s="21" t="s">
        <v>942</v>
      </c>
      <c r="W226" s="21" t="s">
        <v>943</v>
      </c>
      <c r="X226" s="26">
        <v>1.0</v>
      </c>
      <c r="Y226" s="27" t="s">
        <v>944</v>
      </c>
      <c r="Z226" s="21"/>
      <c r="AA226" s="21"/>
      <c r="AB226" s="21"/>
      <c r="AC226" s="21"/>
      <c r="AD226" s="21"/>
    </row>
    <row r="227">
      <c r="A227" s="70" t="s">
        <v>446</v>
      </c>
      <c r="B227" s="21"/>
      <c r="C227" s="21"/>
      <c r="D227" s="21"/>
      <c r="E227" s="21"/>
      <c r="F227" s="21"/>
      <c r="G227" s="21"/>
      <c r="H227" s="21"/>
      <c r="I227" s="21"/>
      <c r="J227" s="21"/>
      <c r="K227" s="21"/>
      <c r="L227" s="21"/>
      <c r="M227" s="21"/>
      <c r="N227" s="21"/>
      <c r="O227" s="21"/>
      <c r="P227" s="21"/>
      <c r="Q227" s="21"/>
      <c r="R227" s="21"/>
      <c r="S227" s="21"/>
      <c r="T227" s="21"/>
      <c r="U227" s="26">
        <v>6.0</v>
      </c>
      <c r="V227" s="21" t="s">
        <v>942</v>
      </c>
      <c r="W227" s="21" t="s">
        <v>943</v>
      </c>
      <c r="X227" s="26">
        <v>2.0</v>
      </c>
      <c r="Y227" s="27" t="s">
        <v>945</v>
      </c>
      <c r="Z227" s="21"/>
      <c r="AA227" s="21"/>
      <c r="AB227" s="21"/>
      <c r="AC227" s="21"/>
      <c r="AD227" s="21"/>
    </row>
    <row r="228">
      <c r="A228" s="70" t="s">
        <v>446</v>
      </c>
      <c r="B228" s="21"/>
      <c r="C228" s="21"/>
      <c r="D228" s="21"/>
      <c r="E228" s="21"/>
      <c r="F228" s="21"/>
      <c r="G228" s="21"/>
      <c r="H228" s="21"/>
      <c r="I228" s="21"/>
      <c r="J228" s="21"/>
      <c r="K228" s="21"/>
      <c r="L228" s="21"/>
      <c r="M228" s="21"/>
      <c r="N228" s="21"/>
      <c r="O228" s="21"/>
      <c r="P228" s="21"/>
      <c r="Q228" s="21"/>
      <c r="R228" s="21"/>
      <c r="S228" s="21"/>
      <c r="T228" s="21"/>
      <c r="U228" s="26">
        <v>6.0</v>
      </c>
      <c r="V228" s="21" t="s">
        <v>942</v>
      </c>
      <c r="W228" s="21" t="s">
        <v>943</v>
      </c>
      <c r="X228" s="26">
        <v>3.0</v>
      </c>
      <c r="Y228" s="27" t="s">
        <v>946</v>
      </c>
      <c r="Z228" s="21"/>
      <c r="AA228" s="21"/>
      <c r="AB228" s="21"/>
      <c r="AC228" s="21"/>
      <c r="AD228" s="21"/>
    </row>
    <row r="229">
      <c r="A229" s="70" t="s">
        <v>446</v>
      </c>
      <c r="B229" s="21"/>
      <c r="C229" s="21"/>
      <c r="D229" s="21"/>
      <c r="E229" s="21"/>
      <c r="F229" s="21"/>
      <c r="G229" s="21"/>
      <c r="H229" s="21"/>
      <c r="I229" s="21"/>
      <c r="J229" s="21"/>
      <c r="K229" s="21"/>
      <c r="L229" s="21"/>
      <c r="M229" s="21"/>
      <c r="N229" s="21"/>
      <c r="O229" s="21"/>
      <c r="P229" s="21"/>
      <c r="Q229" s="21"/>
      <c r="R229" s="21"/>
      <c r="S229" s="21"/>
      <c r="T229" s="21"/>
      <c r="U229" s="26">
        <v>6.0</v>
      </c>
      <c r="V229" s="21" t="s">
        <v>942</v>
      </c>
      <c r="W229" s="21" t="s">
        <v>943</v>
      </c>
      <c r="X229" s="26">
        <v>4.0</v>
      </c>
      <c r="Y229" s="27" t="s">
        <v>947</v>
      </c>
      <c r="Z229" s="21"/>
      <c r="AA229" s="21"/>
      <c r="AB229" s="21"/>
      <c r="AC229" s="21"/>
      <c r="AD229" s="21"/>
    </row>
    <row r="230">
      <c r="A230" s="70" t="s">
        <v>446</v>
      </c>
      <c r="B230" s="21"/>
      <c r="C230" s="21"/>
      <c r="D230" s="21"/>
      <c r="E230" s="21"/>
      <c r="F230" s="21"/>
      <c r="G230" s="21"/>
      <c r="H230" s="21"/>
      <c r="I230" s="21"/>
      <c r="J230" s="21"/>
      <c r="K230" s="21"/>
      <c r="L230" s="21"/>
      <c r="M230" s="21"/>
      <c r="N230" s="21"/>
      <c r="O230" s="21"/>
      <c r="P230" s="21"/>
      <c r="Q230" s="21"/>
      <c r="R230" s="21"/>
      <c r="S230" s="21"/>
      <c r="T230" s="21"/>
      <c r="U230" s="26">
        <v>7.0</v>
      </c>
      <c r="V230" s="21" t="s">
        <v>948</v>
      </c>
      <c r="W230" s="21" t="s">
        <v>949</v>
      </c>
      <c r="X230" s="26">
        <v>1.0</v>
      </c>
      <c r="Y230" s="21" t="s">
        <v>950</v>
      </c>
      <c r="Z230" s="21"/>
      <c r="AA230" s="21"/>
      <c r="AB230" s="21"/>
      <c r="AC230" s="21"/>
      <c r="AD230" s="21"/>
    </row>
    <row r="231">
      <c r="A231" s="70" t="s">
        <v>446</v>
      </c>
      <c r="B231" s="21"/>
      <c r="C231" s="21"/>
      <c r="D231" s="21"/>
      <c r="E231" s="21"/>
      <c r="F231" s="21"/>
      <c r="G231" s="21"/>
      <c r="H231" s="21"/>
      <c r="I231" s="21"/>
      <c r="J231" s="21"/>
      <c r="K231" s="21"/>
      <c r="L231" s="21"/>
      <c r="M231" s="21"/>
      <c r="N231" s="21"/>
      <c r="O231" s="21"/>
      <c r="P231" s="21"/>
      <c r="Q231" s="21"/>
      <c r="R231" s="21"/>
      <c r="S231" s="21"/>
      <c r="T231" s="21"/>
      <c r="U231" s="26">
        <v>7.0</v>
      </c>
      <c r="V231" s="21" t="s">
        <v>948</v>
      </c>
      <c r="W231" s="21" t="s">
        <v>949</v>
      </c>
      <c r="X231" s="26">
        <v>2.0</v>
      </c>
      <c r="Y231" s="21" t="s">
        <v>951</v>
      </c>
      <c r="Z231" s="21"/>
      <c r="AA231" s="21"/>
      <c r="AB231" s="21"/>
      <c r="AC231" s="21"/>
      <c r="AD231" s="21"/>
    </row>
    <row r="232">
      <c r="A232" s="70" t="s">
        <v>446</v>
      </c>
      <c r="B232" s="21"/>
      <c r="C232" s="21"/>
      <c r="D232" s="21"/>
      <c r="E232" s="21"/>
      <c r="F232" s="21"/>
      <c r="G232" s="21"/>
      <c r="H232" s="21"/>
      <c r="I232" s="21"/>
      <c r="J232" s="21"/>
      <c r="K232" s="21"/>
      <c r="L232" s="21"/>
      <c r="M232" s="21"/>
      <c r="N232" s="21"/>
      <c r="O232" s="21"/>
      <c r="P232" s="21"/>
      <c r="Q232" s="21"/>
      <c r="R232" s="21"/>
      <c r="S232" s="21"/>
      <c r="T232" s="21"/>
      <c r="U232" s="26">
        <v>7.0</v>
      </c>
      <c r="V232" s="21" t="s">
        <v>948</v>
      </c>
      <c r="W232" s="21" t="s">
        <v>949</v>
      </c>
      <c r="X232" s="26">
        <v>3.0</v>
      </c>
      <c r="Y232" s="21" t="s">
        <v>538</v>
      </c>
      <c r="Z232" s="26">
        <v>3.1</v>
      </c>
      <c r="AA232" s="21" t="s">
        <v>952</v>
      </c>
      <c r="AB232" s="21" t="s">
        <v>496</v>
      </c>
      <c r="AC232" s="27" t="s">
        <v>953</v>
      </c>
      <c r="AD232" s="21"/>
    </row>
    <row r="233">
      <c r="A233" s="70" t="s">
        <v>446</v>
      </c>
      <c r="B233" s="21"/>
      <c r="C233" s="21"/>
      <c r="D233" s="21"/>
      <c r="E233" s="21"/>
      <c r="F233" s="21"/>
      <c r="G233" s="21"/>
      <c r="H233" s="21"/>
      <c r="I233" s="21"/>
      <c r="J233" s="21"/>
      <c r="K233" s="21"/>
      <c r="L233" s="21"/>
      <c r="M233" s="21"/>
      <c r="N233" s="21"/>
      <c r="O233" s="21"/>
      <c r="P233" s="21"/>
      <c r="Q233" s="21"/>
      <c r="R233" s="21"/>
      <c r="S233" s="21"/>
      <c r="T233" s="21"/>
      <c r="U233" s="26">
        <v>7.0</v>
      </c>
      <c r="V233" s="21" t="s">
        <v>948</v>
      </c>
      <c r="W233" s="21" t="s">
        <v>949</v>
      </c>
      <c r="X233" s="26">
        <v>3.0</v>
      </c>
      <c r="Y233" s="21" t="s">
        <v>538</v>
      </c>
      <c r="Z233" s="26">
        <v>3.1</v>
      </c>
      <c r="AA233" s="21" t="s">
        <v>952</v>
      </c>
      <c r="AB233" s="21" t="s">
        <v>499</v>
      </c>
      <c r="AC233" s="27" t="s">
        <v>954</v>
      </c>
      <c r="AD233" s="21"/>
    </row>
    <row r="234">
      <c r="A234" s="70" t="s">
        <v>446</v>
      </c>
      <c r="B234" s="21"/>
      <c r="C234" s="21"/>
      <c r="D234" s="21"/>
      <c r="E234" s="21"/>
      <c r="F234" s="21"/>
      <c r="G234" s="21"/>
      <c r="H234" s="21"/>
      <c r="I234" s="21"/>
      <c r="J234" s="21"/>
      <c r="K234" s="21"/>
      <c r="L234" s="21"/>
      <c r="M234" s="21"/>
      <c r="N234" s="21"/>
      <c r="O234" s="21"/>
      <c r="P234" s="21"/>
      <c r="Q234" s="21"/>
      <c r="R234" s="21"/>
      <c r="S234" s="21"/>
      <c r="T234" s="21"/>
      <c r="U234" s="26">
        <v>7.0</v>
      </c>
      <c r="V234" s="21" t="s">
        <v>948</v>
      </c>
      <c r="W234" s="21" t="s">
        <v>949</v>
      </c>
      <c r="X234" s="26">
        <v>3.0</v>
      </c>
      <c r="Y234" s="21" t="s">
        <v>538</v>
      </c>
      <c r="Z234" s="26">
        <v>3.1</v>
      </c>
      <c r="AA234" s="21" t="s">
        <v>952</v>
      </c>
      <c r="AB234" s="21" t="s">
        <v>477</v>
      </c>
      <c r="AC234" s="27" t="s">
        <v>955</v>
      </c>
      <c r="AD234" s="21"/>
    </row>
    <row r="235">
      <c r="A235" s="70" t="s">
        <v>446</v>
      </c>
      <c r="B235" s="21"/>
      <c r="C235" s="21"/>
      <c r="D235" s="21"/>
      <c r="E235" s="21"/>
      <c r="F235" s="21"/>
      <c r="G235" s="21"/>
      <c r="H235" s="21"/>
      <c r="I235" s="21"/>
      <c r="J235" s="21"/>
      <c r="K235" s="21"/>
      <c r="L235" s="21"/>
      <c r="M235" s="21"/>
      <c r="N235" s="21"/>
      <c r="O235" s="21"/>
      <c r="P235" s="21"/>
      <c r="Q235" s="21"/>
      <c r="R235" s="21"/>
      <c r="S235" s="21"/>
      <c r="T235" s="21"/>
      <c r="U235" s="26">
        <v>7.0</v>
      </c>
      <c r="V235" s="21" t="s">
        <v>948</v>
      </c>
      <c r="W235" s="21" t="s">
        <v>949</v>
      </c>
      <c r="X235" s="26">
        <v>3.0</v>
      </c>
      <c r="Y235" s="21" t="s">
        <v>538</v>
      </c>
      <c r="Z235" s="26">
        <v>3.1</v>
      </c>
      <c r="AA235" s="21" t="s">
        <v>952</v>
      </c>
      <c r="AB235" s="21" t="s">
        <v>504</v>
      </c>
      <c r="AC235" s="27" t="s">
        <v>956</v>
      </c>
      <c r="AD235" s="21"/>
    </row>
    <row r="236">
      <c r="A236" s="70" t="s">
        <v>446</v>
      </c>
      <c r="B236" s="21"/>
      <c r="C236" s="21"/>
      <c r="D236" s="21"/>
      <c r="E236" s="21"/>
      <c r="F236" s="21"/>
      <c r="G236" s="21"/>
      <c r="H236" s="21"/>
      <c r="I236" s="21"/>
      <c r="J236" s="21"/>
      <c r="K236" s="21"/>
      <c r="L236" s="21"/>
      <c r="M236" s="21"/>
      <c r="N236" s="21"/>
      <c r="O236" s="21"/>
      <c r="P236" s="21"/>
      <c r="Q236" s="21"/>
      <c r="R236" s="21"/>
      <c r="S236" s="21"/>
      <c r="T236" s="21"/>
      <c r="U236" s="26">
        <v>7.0</v>
      </c>
      <c r="V236" s="21" t="s">
        <v>948</v>
      </c>
      <c r="W236" s="21" t="s">
        <v>949</v>
      </c>
      <c r="X236" s="26">
        <v>3.0</v>
      </c>
      <c r="Y236" s="21" t="s">
        <v>538</v>
      </c>
      <c r="Z236" s="26">
        <v>3.1</v>
      </c>
      <c r="AA236" s="21" t="s">
        <v>952</v>
      </c>
      <c r="AB236" s="21" t="s">
        <v>507</v>
      </c>
      <c r="AC236" s="27" t="s">
        <v>957</v>
      </c>
      <c r="AD236" s="21"/>
    </row>
    <row r="237">
      <c r="A237" s="70" t="s">
        <v>446</v>
      </c>
      <c r="B237" s="21"/>
      <c r="C237" s="21"/>
      <c r="D237" s="21"/>
      <c r="E237" s="21"/>
      <c r="F237" s="21"/>
      <c r="G237" s="21"/>
      <c r="H237" s="21"/>
      <c r="I237" s="21"/>
      <c r="J237" s="21"/>
      <c r="K237" s="21"/>
      <c r="L237" s="21"/>
      <c r="M237" s="21"/>
      <c r="N237" s="21"/>
      <c r="O237" s="21"/>
      <c r="P237" s="21"/>
      <c r="Q237" s="21"/>
      <c r="R237" s="21"/>
      <c r="S237" s="21"/>
      <c r="T237" s="21"/>
      <c r="U237" s="26">
        <v>7.0</v>
      </c>
      <c r="V237" s="21" t="s">
        <v>948</v>
      </c>
      <c r="W237" s="21" t="s">
        <v>949</v>
      </c>
      <c r="X237" s="26">
        <v>3.0</v>
      </c>
      <c r="Y237" s="21" t="s">
        <v>538</v>
      </c>
      <c r="Z237" s="26">
        <v>3.1</v>
      </c>
      <c r="AA237" s="21" t="s">
        <v>952</v>
      </c>
      <c r="AB237" s="21" t="s">
        <v>510</v>
      </c>
      <c r="AC237" s="27" t="s">
        <v>958</v>
      </c>
      <c r="AD237" s="21"/>
    </row>
    <row r="238">
      <c r="A238" s="70" t="s">
        <v>446</v>
      </c>
      <c r="B238" s="21"/>
      <c r="C238" s="21"/>
      <c r="D238" s="21"/>
      <c r="E238" s="21"/>
      <c r="F238" s="21"/>
      <c r="G238" s="21"/>
      <c r="H238" s="21"/>
      <c r="I238" s="21"/>
      <c r="J238" s="21"/>
      <c r="K238" s="21"/>
      <c r="L238" s="21"/>
      <c r="M238" s="21"/>
      <c r="N238" s="21"/>
      <c r="O238" s="21"/>
      <c r="P238" s="21"/>
      <c r="Q238" s="21"/>
      <c r="R238" s="21"/>
      <c r="S238" s="21"/>
      <c r="T238" s="21"/>
      <c r="U238" s="26">
        <v>7.0</v>
      </c>
      <c r="V238" s="21" t="s">
        <v>948</v>
      </c>
      <c r="W238" s="21" t="s">
        <v>949</v>
      </c>
      <c r="X238" s="26">
        <v>3.0</v>
      </c>
      <c r="Y238" s="21" t="s">
        <v>538</v>
      </c>
      <c r="Z238" s="26">
        <v>3.2</v>
      </c>
      <c r="AA238" s="27" t="s">
        <v>959</v>
      </c>
      <c r="AB238" s="21"/>
      <c r="AC238" s="21"/>
      <c r="AD238" s="21"/>
    </row>
    <row r="239">
      <c r="A239" s="70" t="s">
        <v>446</v>
      </c>
      <c r="B239" s="21"/>
      <c r="C239" s="21"/>
      <c r="D239" s="21"/>
      <c r="E239" s="21"/>
      <c r="F239" s="21"/>
      <c r="G239" s="21"/>
      <c r="H239" s="21"/>
      <c r="I239" s="21"/>
      <c r="J239" s="21"/>
      <c r="K239" s="21"/>
      <c r="L239" s="21"/>
      <c r="M239" s="21"/>
      <c r="N239" s="21"/>
      <c r="O239" s="21"/>
      <c r="P239" s="21"/>
      <c r="Q239" s="21"/>
      <c r="R239" s="21"/>
      <c r="S239" s="21"/>
      <c r="T239" s="21"/>
      <c r="U239" s="26">
        <v>7.0</v>
      </c>
      <c r="V239" s="21" t="s">
        <v>948</v>
      </c>
      <c r="W239" s="21" t="s">
        <v>949</v>
      </c>
      <c r="X239" s="26">
        <v>3.0</v>
      </c>
      <c r="Y239" s="21" t="s">
        <v>538</v>
      </c>
      <c r="Z239" s="26">
        <v>3.3</v>
      </c>
      <c r="AA239" s="27" t="s">
        <v>960</v>
      </c>
      <c r="AB239" s="21"/>
      <c r="AC239" s="21"/>
      <c r="AD239" s="21"/>
    </row>
    <row r="240">
      <c r="A240" s="70" t="s">
        <v>446</v>
      </c>
      <c r="B240" s="21"/>
      <c r="C240" s="21"/>
      <c r="D240" s="21"/>
      <c r="E240" s="21"/>
      <c r="F240" s="21"/>
      <c r="G240" s="21"/>
      <c r="H240" s="21"/>
      <c r="I240" s="21"/>
      <c r="J240" s="21"/>
      <c r="K240" s="21"/>
      <c r="L240" s="21"/>
      <c r="M240" s="21"/>
      <c r="N240" s="21"/>
      <c r="O240" s="21"/>
      <c r="P240" s="21"/>
      <c r="Q240" s="21"/>
      <c r="R240" s="21"/>
      <c r="S240" s="21"/>
      <c r="T240" s="21"/>
      <c r="U240" s="26">
        <v>7.0</v>
      </c>
      <c r="V240" s="21" t="s">
        <v>948</v>
      </c>
      <c r="W240" s="21" t="s">
        <v>949</v>
      </c>
      <c r="X240" s="26">
        <v>3.0</v>
      </c>
      <c r="Y240" s="21" t="s">
        <v>538</v>
      </c>
      <c r="Z240" s="26">
        <v>3.4</v>
      </c>
      <c r="AA240" s="27" t="s">
        <v>961</v>
      </c>
      <c r="AB240" s="21"/>
      <c r="AC240" s="21"/>
      <c r="AD240" s="21"/>
    </row>
    <row r="241">
      <c r="A241" s="70" t="s">
        <v>446</v>
      </c>
      <c r="B241" s="21"/>
      <c r="C241" s="21"/>
      <c r="D241" s="21"/>
      <c r="E241" s="21"/>
      <c r="F241" s="21"/>
      <c r="G241" s="21"/>
      <c r="H241" s="21"/>
      <c r="I241" s="21"/>
      <c r="J241" s="21"/>
      <c r="K241" s="21"/>
      <c r="L241" s="21"/>
      <c r="M241" s="21"/>
      <c r="N241" s="21"/>
      <c r="O241" s="21"/>
      <c r="P241" s="21"/>
      <c r="Q241" s="21"/>
      <c r="R241" s="21"/>
      <c r="S241" s="21"/>
      <c r="T241" s="21"/>
      <c r="U241" s="26">
        <v>7.0</v>
      </c>
      <c r="V241" s="21" t="s">
        <v>948</v>
      </c>
      <c r="W241" s="21" t="s">
        <v>949</v>
      </c>
      <c r="X241" s="26">
        <v>4.0</v>
      </c>
      <c r="Y241" s="21" t="s">
        <v>962</v>
      </c>
      <c r="Z241" s="26">
        <v>4.1</v>
      </c>
      <c r="AA241" s="27" t="s">
        <v>963</v>
      </c>
      <c r="AB241" s="21"/>
      <c r="AC241" s="21"/>
      <c r="AD241" s="21"/>
    </row>
    <row r="242">
      <c r="A242" s="70" t="s">
        <v>446</v>
      </c>
      <c r="B242" s="21"/>
      <c r="C242" s="21"/>
      <c r="D242" s="21"/>
      <c r="E242" s="21"/>
      <c r="F242" s="21"/>
      <c r="G242" s="21"/>
      <c r="H242" s="21"/>
      <c r="I242" s="21"/>
      <c r="J242" s="21"/>
      <c r="K242" s="21"/>
      <c r="L242" s="21"/>
      <c r="M242" s="21"/>
      <c r="N242" s="21"/>
      <c r="O242" s="21"/>
      <c r="P242" s="21"/>
      <c r="Q242" s="21"/>
      <c r="R242" s="21"/>
      <c r="S242" s="21"/>
      <c r="T242" s="21"/>
      <c r="U242" s="26">
        <v>7.0</v>
      </c>
      <c r="V242" s="21" t="s">
        <v>948</v>
      </c>
      <c r="W242" s="21" t="s">
        <v>949</v>
      </c>
      <c r="X242" s="26">
        <v>4.0</v>
      </c>
      <c r="Y242" s="21" t="s">
        <v>962</v>
      </c>
      <c r="Z242" s="26">
        <v>4.2</v>
      </c>
      <c r="AA242" s="21" t="s">
        <v>964</v>
      </c>
      <c r="AB242" s="21" t="s">
        <v>496</v>
      </c>
      <c r="AC242" s="27" t="s">
        <v>965</v>
      </c>
      <c r="AD242" s="21"/>
    </row>
    <row r="243">
      <c r="A243" s="70" t="s">
        <v>446</v>
      </c>
      <c r="B243" s="21"/>
      <c r="C243" s="21"/>
      <c r="D243" s="21"/>
      <c r="E243" s="21"/>
      <c r="F243" s="21"/>
      <c r="G243" s="21"/>
      <c r="H243" s="21"/>
      <c r="I243" s="21"/>
      <c r="J243" s="21"/>
      <c r="K243" s="21"/>
      <c r="L243" s="21"/>
      <c r="M243" s="21"/>
      <c r="N243" s="21"/>
      <c r="O243" s="21"/>
      <c r="P243" s="21"/>
      <c r="Q243" s="21"/>
      <c r="R243" s="21"/>
      <c r="S243" s="21"/>
      <c r="T243" s="21"/>
      <c r="U243" s="26">
        <v>7.0</v>
      </c>
      <c r="V243" s="21" t="s">
        <v>948</v>
      </c>
      <c r="W243" s="21" t="s">
        <v>949</v>
      </c>
      <c r="X243" s="26">
        <v>4.0</v>
      </c>
      <c r="Y243" s="21" t="s">
        <v>962</v>
      </c>
      <c r="Z243" s="26">
        <v>4.2</v>
      </c>
      <c r="AA243" s="21" t="s">
        <v>964</v>
      </c>
      <c r="AB243" s="21" t="s">
        <v>499</v>
      </c>
      <c r="AC243" s="27" t="s">
        <v>966</v>
      </c>
      <c r="AD243" s="21"/>
    </row>
    <row r="244">
      <c r="A244" s="70" t="s">
        <v>446</v>
      </c>
      <c r="B244" s="21"/>
      <c r="C244" s="21"/>
      <c r="D244" s="21"/>
      <c r="E244" s="21"/>
      <c r="F244" s="21"/>
      <c r="G244" s="21"/>
      <c r="H244" s="21"/>
      <c r="I244" s="21"/>
      <c r="J244" s="21"/>
      <c r="K244" s="21"/>
      <c r="L244" s="21"/>
      <c r="M244" s="21"/>
      <c r="N244" s="21"/>
      <c r="O244" s="21"/>
      <c r="P244" s="21"/>
      <c r="Q244" s="21"/>
      <c r="R244" s="21"/>
      <c r="S244" s="21"/>
      <c r="T244" s="21"/>
      <c r="U244" s="26">
        <v>7.0</v>
      </c>
      <c r="V244" s="21" t="s">
        <v>948</v>
      </c>
      <c r="W244" s="21" t="s">
        <v>949</v>
      </c>
      <c r="X244" s="26">
        <v>4.0</v>
      </c>
      <c r="Y244" s="21" t="s">
        <v>962</v>
      </c>
      <c r="Z244" s="26">
        <v>4.2</v>
      </c>
      <c r="AA244" s="21" t="s">
        <v>964</v>
      </c>
      <c r="AB244" s="21" t="s">
        <v>477</v>
      </c>
      <c r="AC244" s="27" t="s">
        <v>967</v>
      </c>
      <c r="AD244" s="21"/>
    </row>
    <row r="245">
      <c r="A245" s="70" t="s">
        <v>446</v>
      </c>
      <c r="B245" s="21"/>
      <c r="C245" s="21"/>
      <c r="D245" s="21"/>
      <c r="E245" s="21"/>
      <c r="F245" s="21"/>
      <c r="G245" s="21"/>
      <c r="H245" s="21"/>
      <c r="I245" s="21"/>
      <c r="J245" s="21"/>
      <c r="K245" s="21"/>
      <c r="L245" s="21"/>
      <c r="M245" s="21"/>
      <c r="N245" s="21"/>
      <c r="O245" s="21"/>
      <c r="P245" s="21"/>
      <c r="Q245" s="21"/>
      <c r="R245" s="21"/>
      <c r="S245" s="21"/>
      <c r="T245" s="21"/>
      <c r="U245" s="26">
        <v>7.0</v>
      </c>
      <c r="V245" s="21" t="s">
        <v>948</v>
      </c>
      <c r="W245" s="21" t="s">
        <v>949</v>
      </c>
      <c r="X245" s="26">
        <v>4.0</v>
      </c>
      <c r="Y245" s="21" t="s">
        <v>962</v>
      </c>
      <c r="Z245" s="26">
        <v>4.3</v>
      </c>
      <c r="AA245" s="27" t="s">
        <v>968</v>
      </c>
      <c r="AB245" s="21"/>
      <c r="AC245" s="21"/>
      <c r="AD245" s="21"/>
    </row>
    <row r="246">
      <c r="A246" s="70" t="s">
        <v>446</v>
      </c>
      <c r="B246" s="21"/>
      <c r="C246" s="21"/>
      <c r="D246" s="21"/>
      <c r="E246" s="21"/>
      <c r="F246" s="21"/>
      <c r="G246" s="21"/>
      <c r="H246" s="21"/>
      <c r="I246" s="21"/>
      <c r="J246" s="21"/>
      <c r="K246" s="21"/>
      <c r="L246" s="21"/>
      <c r="M246" s="21"/>
      <c r="N246" s="21"/>
      <c r="O246" s="21"/>
      <c r="P246" s="21"/>
      <c r="Q246" s="21"/>
      <c r="R246" s="21"/>
      <c r="S246" s="21"/>
      <c r="T246" s="21"/>
      <c r="U246" s="26">
        <v>7.0</v>
      </c>
      <c r="V246" s="21" t="s">
        <v>948</v>
      </c>
      <c r="W246" s="21" t="s">
        <v>949</v>
      </c>
      <c r="X246" s="26">
        <v>4.0</v>
      </c>
      <c r="Y246" s="21" t="s">
        <v>962</v>
      </c>
      <c r="Z246" s="26">
        <v>4.4</v>
      </c>
      <c r="AA246" s="27" t="s">
        <v>969</v>
      </c>
      <c r="AB246" s="21"/>
      <c r="AC246" s="21"/>
      <c r="AD246" s="21"/>
    </row>
    <row r="247">
      <c r="A247" s="70" t="s">
        <v>446</v>
      </c>
      <c r="B247" s="21"/>
      <c r="C247" s="21"/>
      <c r="D247" s="21"/>
      <c r="E247" s="21"/>
      <c r="F247" s="21"/>
      <c r="G247" s="21"/>
      <c r="H247" s="21"/>
      <c r="I247" s="21"/>
      <c r="J247" s="21"/>
      <c r="K247" s="21"/>
      <c r="L247" s="21"/>
      <c r="M247" s="21"/>
      <c r="N247" s="21"/>
      <c r="O247" s="21"/>
      <c r="P247" s="21"/>
      <c r="Q247" s="21"/>
      <c r="R247" s="21"/>
      <c r="S247" s="21"/>
      <c r="T247" s="21"/>
      <c r="U247" s="26">
        <v>7.0</v>
      </c>
      <c r="V247" s="21" t="s">
        <v>948</v>
      </c>
      <c r="W247" s="21" t="s">
        <v>949</v>
      </c>
      <c r="X247" s="26">
        <v>4.0</v>
      </c>
      <c r="Y247" s="21" t="s">
        <v>962</v>
      </c>
      <c r="Z247" s="26">
        <v>4.5</v>
      </c>
      <c r="AA247" s="27" t="s">
        <v>970</v>
      </c>
      <c r="AB247" s="21"/>
      <c r="AC247" s="21"/>
      <c r="AD247" s="21"/>
    </row>
    <row r="248">
      <c r="A248" s="70" t="s">
        <v>446</v>
      </c>
      <c r="B248" s="21"/>
      <c r="C248" s="21"/>
      <c r="D248" s="21"/>
      <c r="E248" s="21"/>
      <c r="F248" s="21"/>
      <c r="G248" s="21"/>
      <c r="H248" s="21"/>
      <c r="I248" s="21"/>
      <c r="J248" s="21"/>
      <c r="K248" s="21"/>
      <c r="L248" s="21"/>
      <c r="M248" s="21"/>
      <c r="N248" s="21"/>
      <c r="O248" s="21"/>
      <c r="P248" s="21"/>
      <c r="Q248" s="21"/>
      <c r="R248" s="21"/>
      <c r="S248" s="21"/>
      <c r="T248" s="21"/>
      <c r="U248" s="26">
        <v>7.0</v>
      </c>
      <c r="V248" s="21" t="s">
        <v>948</v>
      </c>
      <c r="W248" s="21" t="s">
        <v>949</v>
      </c>
      <c r="X248" s="26">
        <v>4.0</v>
      </c>
      <c r="Y248" s="21" t="s">
        <v>962</v>
      </c>
      <c r="Z248" s="26">
        <v>4.6</v>
      </c>
      <c r="AA248" s="27" t="s">
        <v>971</v>
      </c>
      <c r="AB248" s="21"/>
      <c r="AC248" s="21"/>
      <c r="AD248" s="21"/>
    </row>
    <row r="249">
      <c r="A249" s="70" t="s">
        <v>446</v>
      </c>
      <c r="B249" s="21"/>
      <c r="C249" s="21"/>
      <c r="D249" s="21"/>
      <c r="E249" s="21"/>
      <c r="F249" s="21"/>
      <c r="G249" s="21"/>
      <c r="H249" s="21"/>
      <c r="I249" s="21"/>
      <c r="J249" s="21"/>
      <c r="K249" s="21"/>
      <c r="L249" s="21"/>
      <c r="M249" s="21"/>
      <c r="N249" s="21"/>
      <c r="O249" s="21"/>
      <c r="P249" s="21"/>
      <c r="Q249" s="21"/>
      <c r="R249" s="21"/>
      <c r="S249" s="21"/>
      <c r="T249" s="21"/>
      <c r="U249" s="26">
        <v>7.0</v>
      </c>
      <c r="V249" s="21" t="s">
        <v>948</v>
      </c>
      <c r="W249" s="21" t="s">
        <v>949</v>
      </c>
      <c r="X249" s="26">
        <v>4.0</v>
      </c>
      <c r="Y249" s="21" t="s">
        <v>962</v>
      </c>
      <c r="Z249" s="26">
        <v>4.7</v>
      </c>
      <c r="AA249" s="27" t="s">
        <v>972</v>
      </c>
      <c r="AB249" s="21"/>
      <c r="AC249" s="21"/>
      <c r="AD249" s="21"/>
    </row>
    <row r="250">
      <c r="A250" s="70" t="s">
        <v>446</v>
      </c>
      <c r="B250" s="21"/>
      <c r="C250" s="21"/>
      <c r="D250" s="21"/>
      <c r="E250" s="21"/>
      <c r="F250" s="21"/>
      <c r="G250" s="21"/>
      <c r="H250" s="21"/>
      <c r="I250" s="21"/>
      <c r="J250" s="21"/>
      <c r="K250" s="21"/>
      <c r="L250" s="21"/>
      <c r="M250" s="21"/>
      <c r="N250" s="21"/>
      <c r="O250" s="21"/>
      <c r="P250" s="21"/>
      <c r="Q250" s="21"/>
      <c r="R250" s="21"/>
      <c r="S250" s="21"/>
      <c r="T250" s="21"/>
      <c r="U250" s="26">
        <v>7.0</v>
      </c>
      <c r="V250" s="21" t="s">
        <v>948</v>
      </c>
      <c r="W250" s="21" t="s">
        <v>949</v>
      </c>
      <c r="X250" s="26">
        <v>5.0</v>
      </c>
      <c r="Y250" s="21" t="s">
        <v>973</v>
      </c>
      <c r="Z250" s="26">
        <v>5.1</v>
      </c>
      <c r="AA250" s="27" t="s">
        <v>974</v>
      </c>
      <c r="AB250" s="21"/>
      <c r="AC250" s="21"/>
      <c r="AD250" s="21"/>
    </row>
    <row r="251">
      <c r="A251" s="70" t="s">
        <v>446</v>
      </c>
      <c r="B251" s="21"/>
      <c r="C251" s="21"/>
      <c r="D251" s="21"/>
      <c r="E251" s="21"/>
      <c r="F251" s="21"/>
      <c r="G251" s="21"/>
      <c r="H251" s="21"/>
      <c r="I251" s="21"/>
      <c r="J251" s="21"/>
      <c r="K251" s="21"/>
      <c r="L251" s="21"/>
      <c r="M251" s="21"/>
      <c r="N251" s="21"/>
      <c r="O251" s="21"/>
      <c r="P251" s="21"/>
      <c r="Q251" s="21"/>
      <c r="R251" s="21"/>
      <c r="S251" s="21"/>
      <c r="T251" s="21"/>
      <c r="U251" s="26">
        <v>7.0</v>
      </c>
      <c r="V251" s="21" t="s">
        <v>948</v>
      </c>
      <c r="W251" s="21" t="s">
        <v>949</v>
      </c>
      <c r="X251" s="26">
        <v>5.0</v>
      </c>
      <c r="Y251" s="21" t="s">
        <v>973</v>
      </c>
      <c r="Z251" s="26">
        <v>5.2</v>
      </c>
      <c r="AA251" s="27" t="s">
        <v>975</v>
      </c>
      <c r="AB251" s="21"/>
      <c r="AC251" s="21"/>
      <c r="AD251" s="21"/>
    </row>
    <row r="252">
      <c r="A252" s="70" t="s">
        <v>446</v>
      </c>
      <c r="B252" s="21"/>
      <c r="C252" s="21"/>
      <c r="D252" s="21"/>
      <c r="E252" s="21"/>
      <c r="F252" s="21"/>
      <c r="G252" s="21"/>
      <c r="H252" s="21"/>
      <c r="I252" s="21"/>
      <c r="J252" s="21"/>
      <c r="K252" s="21"/>
      <c r="L252" s="21"/>
      <c r="M252" s="21"/>
      <c r="N252" s="21"/>
      <c r="O252" s="21"/>
      <c r="P252" s="21"/>
      <c r="Q252" s="21"/>
      <c r="R252" s="21"/>
      <c r="S252" s="21"/>
      <c r="T252" s="21"/>
      <c r="U252" s="26">
        <v>7.0</v>
      </c>
      <c r="V252" s="21" t="s">
        <v>948</v>
      </c>
      <c r="W252" s="21" t="s">
        <v>949</v>
      </c>
      <c r="X252" s="26">
        <v>5.0</v>
      </c>
      <c r="Y252" s="21" t="s">
        <v>973</v>
      </c>
      <c r="Z252" s="26">
        <v>5.3</v>
      </c>
      <c r="AA252" s="27" t="s">
        <v>976</v>
      </c>
      <c r="AB252" s="21"/>
      <c r="AC252" s="21"/>
      <c r="AD252" s="21"/>
    </row>
    <row r="253">
      <c r="A253" s="70" t="s">
        <v>446</v>
      </c>
      <c r="B253" s="21"/>
      <c r="C253" s="21"/>
      <c r="D253" s="21"/>
      <c r="E253" s="21"/>
      <c r="F253" s="21"/>
      <c r="G253" s="21"/>
      <c r="H253" s="21"/>
      <c r="I253" s="21"/>
      <c r="J253" s="21"/>
      <c r="K253" s="21"/>
      <c r="L253" s="21"/>
      <c r="M253" s="21"/>
      <c r="N253" s="21"/>
      <c r="O253" s="21"/>
      <c r="P253" s="21"/>
      <c r="Q253" s="21"/>
      <c r="R253" s="21"/>
      <c r="S253" s="21"/>
      <c r="T253" s="21"/>
      <c r="U253" s="26">
        <v>8.0</v>
      </c>
      <c r="V253" s="21" t="s">
        <v>977</v>
      </c>
      <c r="W253" s="21" t="s">
        <v>978</v>
      </c>
      <c r="X253" s="26">
        <v>1.0</v>
      </c>
      <c r="Y253" s="27" t="s">
        <v>979</v>
      </c>
      <c r="Z253" s="21"/>
      <c r="AA253" s="21"/>
      <c r="AB253" s="21"/>
      <c r="AC253" s="21"/>
      <c r="AD253" s="21"/>
    </row>
    <row r="254">
      <c r="A254" s="70" t="s">
        <v>446</v>
      </c>
      <c r="B254" s="21"/>
      <c r="C254" s="21"/>
      <c r="D254" s="21"/>
      <c r="E254" s="21"/>
      <c r="F254" s="21"/>
      <c r="G254" s="21"/>
      <c r="H254" s="21"/>
      <c r="I254" s="21"/>
      <c r="J254" s="21"/>
      <c r="K254" s="21"/>
      <c r="L254" s="21"/>
      <c r="M254" s="21"/>
      <c r="N254" s="21"/>
      <c r="O254" s="21"/>
      <c r="P254" s="21"/>
      <c r="Q254" s="21"/>
      <c r="R254" s="21"/>
      <c r="S254" s="21"/>
      <c r="T254" s="21"/>
      <c r="U254" s="26">
        <v>8.0</v>
      </c>
      <c r="V254" s="21" t="s">
        <v>977</v>
      </c>
      <c r="W254" s="21" t="s">
        <v>978</v>
      </c>
      <c r="X254" s="26">
        <v>2.0</v>
      </c>
      <c r="Y254" s="27" t="s">
        <v>980</v>
      </c>
      <c r="Z254" s="21"/>
      <c r="AA254" s="21"/>
      <c r="AB254" s="21"/>
      <c r="AC254" s="21"/>
      <c r="AD254" s="21"/>
    </row>
    <row r="255">
      <c r="A255" s="70" t="s">
        <v>446</v>
      </c>
      <c r="B255" s="21"/>
      <c r="C255" s="21"/>
      <c r="D255" s="21"/>
      <c r="E255" s="21"/>
      <c r="F255" s="21"/>
      <c r="G255" s="21"/>
      <c r="H255" s="21"/>
      <c r="I255" s="21"/>
      <c r="J255" s="21"/>
      <c r="K255" s="21"/>
      <c r="L255" s="21"/>
      <c r="M255" s="21"/>
      <c r="N255" s="21"/>
      <c r="O255" s="21"/>
      <c r="P255" s="21"/>
      <c r="Q255" s="21"/>
      <c r="R255" s="21"/>
      <c r="S255" s="21"/>
      <c r="T255" s="21"/>
      <c r="U255" s="26">
        <v>8.0</v>
      </c>
      <c r="V255" s="21" t="s">
        <v>977</v>
      </c>
      <c r="W255" s="21" t="s">
        <v>978</v>
      </c>
      <c r="X255" s="26">
        <v>3.0</v>
      </c>
      <c r="Y255" s="27" t="s">
        <v>981</v>
      </c>
      <c r="Z255" s="21"/>
      <c r="AA255" s="21"/>
      <c r="AB255" s="21"/>
      <c r="AC255" s="21"/>
      <c r="AD255" s="21"/>
    </row>
    <row r="256">
      <c r="A256" s="70" t="s">
        <v>446</v>
      </c>
      <c r="B256" s="21"/>
      <c r="C256" s="21"/>
      <c r="D256" s="21"/>
      <c r="E256" s="21"/>
      <c r="F256" s="21"/>
      <c r="G256" s="21"/>
      <c r="H256" s="21"/>
      <c r="I256" s="21"/>
      <c r="J256" s="21"/>
      <c r="K256" s="21"/>
      <c r="L256" s="21"/>
      <c r="M256" s="21"/>
      <c r="N256" s="21"/>
      <c r="O256" s="21"/>
      <c r="P256" s="21"/>
      <c r="Q256" s="21"/>
      <c r="R256" s="21"/>
      <c r="S256" s="21"/>
      <c r="T256" s="21"/>
      <c r="U256" s="26">
        <v>8.0</v>
      </c>
      <c r="V256" s="21" t="s">
        <v>977</v>
      </c>
      <c r="W256" s="21" t="s">
        <v>978</v>
      </c>
      <c r="X256" s="26">
        <v>4.0</v>
      </c>
      <c r="Y256" s="27" t="s">
        <v>982</v>
      </c>
      <c r="Z256" s="21"/>
      <c r="AA256" s="21"/>
      <c r="AB256" s="21"/>
      <c r="AC256" s="21"/>
      <c r="AD256" s="21"/>
    </row>
    <row r="257">
      <c r="A257" s="70" t="s">
        <v>446</v>
      </c>
      <c r="B257" s="21"/>
      <c r="C257" s="21"/>
      <c r="D257" s="21"/>
      <c r="E257" s="21"/>
      <c r="F257" s="21"/>
      <c r="G257" s="21"/>
      <c r="H257" s="21"/>
      <c r="I257" s="21"/>
      <c r="J257" s="21"/>
      <c r="K257" s="21"/>
      <c r="L257" s="21"/>
      <c r="M257" s="21"/>
      <c r="N257" s="21"/>
      <c r="O257" s="21"/>
      <c r="P257" s="21"/>
      <c r="Q257" s="21"/>
      <c r="R257" s="21"/>
      <c r="S257" s="21"/>
      <c r="T257" s="21"/>
      <c r="U257" s="26">
        <v>8.0</v>
      </c>
      <c r="V257" s="21" t="s">
        <v>977</v>
      </c>
      <c r="W257" s="21" t="s">
        <v>978</v>
      </c>
      <c r="X257" s="26">
        <v>5.0</v>
      </c>
      <c r="Y257" s="27" t="s">
        <v>983</v>
      </c>
      <c r="Z257" s="21"/>
      <c r="AA257" s="21"/>
      <c r="AB257" s="21"/>
      <c r="AC257" s="21"/>
      <c r="AD257" s="21"/>
    </row>
    <row r="258">
      <c r="A258" s="70" t="s">
        <v>446</v>
      </c>
      <c r="B258" s="21"/>
      <c r="C258" s="21"/>
      <c r="D258" s="21"/>
      <c r="E258" s="21"/>
      <c r="F258" s="21"/>
      <c r="G258" s="21"/>
      <c r="H258" s="21"/>
      <c r="I258" s="21"/>
      <c r="J258" s="21"/>
      <c r="K258" s="21"/>
      <c r="L258" s="21"/>
      <c r="M258" s="21"/>
      <c r="N258" s="21"/>
      <c r="O258" s="21"/>
      <c r="P258" s="21"/>
      <c r="Q258" s="21"/>
      <c r="R258" s="21"/>
      <c r="S258" s="21"/>
      <c r="T258" s="21"/>
      <c r="U258" s="26">
        <v>8.0</v>
      </c>
      <c r="V258" s="21" t="s">
        <v>977</v>
      </c>
      <c r="W258" s="21" t="s">
        <v>978</v>
      </c>
      <c r="X258" s="26">
        <v>6.0</v>
      </c>
      <c r="Y258" s="27" t="s">
        <v>984</v>
      </c>
      <c r="Z258" s="21"/>
      <c r="AA258" s="21"/>
      <c r="AB258" s="21"/>
      <c r="AC258" s="21"/>
      <c r="AD258" s="21"/>
    </row>
    <row r="259">
      <c r="A259" s="70" t="s">
        <v>446</v>
      </c>
      <c r="B259" s="21"/>
      <c r="C259" s="21"/>
      <c r="D259" s="21"/>
      <c r="E259" s="21"/>
      <c r="F259" s="21"/>
      <c r="G259" s="21"/>
      <c r="H259" s="21"/>
      <c r="I259" s="21"/>
      <c r="J259" s="21"/>
      <c r="K259" s="21"/>
      <c r="L259" s="21"/>
      <c r="M259" s="21"/>
      <c r="N259" s="21"/>
      <c r="O259" s="21"/>
      <c r="P259" s="21"/>
      <c r="Q259" s="21"/>
      <c r="R259" s="21"/>
      <c r="S259" s="21"/>
      <c r="T259" s="21"/>
      <c r="U259" s="26">
        <v>8.0</v>
      </c>
      <c r="V259" s="21" t="s">
        <v>977</v>
      </c>
      <c r="W259" s="21" t="s">
        <v>978</v>
      </c>
      <c r="X259" s="26">
        <v>7.0</v>
      </c>
      <c r="Y259" s="27" t="s">
        <v>985</v>
      </c>
      <c r="Z259" s="21"/>
      <c r="AA259" s="21"/>
      <c r="AB259" s="21"/>
      <c r="AC259" s="21"/>
      <c r="AD259" s="21"/>
    </row>
    <row r="260">
      <c r="A260" s="70" t="s">
        <v>446</v>
      </c>
      <c r="B260" s="21"/>
      <c r="C260" s="21"/>
      <c r="D260" s="21"/>
      <c r="E260" s="21"/>
      <c r="F260" s="21"/>
      <c r="G260" s="21"/>
      <c r="H260" s="21"/>
      <c r="I260" s="21"/>
      <c r="J260" s="21"/>
      <c r="K260" s="21"/>
      <c r="L260" s="21"/>
      <c r="M260" s="21"/>
      <c r="N260" s="21"/>
      <c r="O260" s="21"/>
      <c r="P260" s="21"/>
      <c r="Q260" s="21"/>
      <c r="R260" s="21"/>
      <c r="S260" s="21"/>
      <c r="T260" s="21"/>
      <c r="U260" s="26">
        <v>8.0</v>
      </c>
      <c r="V260" s="21" t="s">
        <v>977</v>
      </c>
      <c r="W260" s="21" t="s">
        <v>978</v>
      </c>
      <c r="X260" s="26">
        <v>8.0</v>
      </c>
      <c r="Y260" s="27" t="s">
        <v>986</v>
      </c>
      <c r="Z260" s="21"/>
      <c r="AA260" s="21"/>
      <c r="AB260" s="21"/>
      <c r="AC260" s="21"/>
      <c r="AD260" s="21"/>
    </row>
    <row r="261">
      <c r="A261" s="70" t="s">
        <v>446</v>
      </c>
      <c r="B261" s="21"/>
      <c r="C261" s="21"/>
      <c r="D261" s="21"/>
      <c r="E261" s="21"/>
      <c r="F261" s="21"/>
      <c r="G261" s="21"/>
      <c r="H261" s="21"/>
      <c r="I261" s="21"/>
      <c r="J261" s="21"/>
      <c r="K261" s="21"/>
      <c r="L261" s="21"/>
      <c r="M261" s="21"/>
      <c r="N261" s="21"/>
      <c r="O261" s="21"/>
      <c r="P261" s="21"/>
      <c r="Q261" s="21"/>
      <c r="R261" s="21"/>
      <c r="S261" s="21"/>
      <c r="T261" s="21"/>
      <c r="U261" s="26">
        <v>8.0</v>
      </c>
      <c r="V261" s="21" t="s">
        <v>977</v>
      </c>
      <c r="W261" s="21" t="s">
        <v>978</v>
      </c>
      <c r="X261" s="26">
        <v>9.0</v>
      </c>
      <c r="Y261" s="27" t="s">
        <v>987</v>
      </c>
      <c r="Z261" s="21"/>
      <c r="AA261" s="21"/>
      <c r="AB261" s="21"/>
      <c r="AC261" s="21"/>
      <c r="AD261" s="21"/>
    </row>
    <row r="262">
      <c r="A262" s="70" t="s">
        <v>446</v>
      </c>
      <c r="B262" s="21"/>
      <c r="C262" s="21"/>
      <c r="D262" s="21"/>
      <c r="E262" s="21"/>
      <c r="F262" s="21"/>
      <c r="G262" s="21"/>
      <c r="H262" s="21"/>
      <c r="I262" s="21"/>
      <c r="J262" s="21"/>
      <c r="K262" s="21"/>
      <c r="L262" s="21"/>
      <c r="M262" s="21"/>
      <c r="N262" s="21"/>
      <c r="O262" s="21"/>
      <c r="P262" s="21"/>
      <c r="Q262" s="21"/>
      <c r="R262" s="21"/>
      <c r="S262" s="21"/>
      <c r="T262" s="21"/>
      <c r="U262" s="26">
        <v>8.0</v>
      </c>
      <c r="V262" s="21" t="s">
        <v>977</v>
      </c>
      <c r="W262" s="21" t="s">
        <v>978</v>
      </c>
      <c r="X262" s="26">
        <v>10.0</v>
      </c>
      <c r="Y262" s="27" t="s">
        <v>988</v>
      </c>
      <c r="Z262" s="21"/>
      <c r="AA262" s="21"/>
      <c r="AB262" s="21"/>
      <c r="AC262" s="21"/>
      <c r="AD262" s="21"/>
    </row>
    <row r="263">
      <c r="A263" s="70" t="s">
        <v>446</v>
      </c>
      <c r="B263" s="21"/>
      <c r="C263" s="21"/>
      <c r="D263" s="21"/>
      <c r="E263" s="21"/>
      <c r="F263" s="21"/>
      <c r="G263" s="21"/>
      <c r="H263" s="21"/>
      <c r="I263" s="21"/>
      <c r="J263" s="21"/>
      <c r="K263" s="21"/>
      <c r="L263" s="21"/>
      <c r="M263" s="21"/>
      <c r="N263" s="21"/>
      <c r="O263" s="21"/>
      <c r="P263" s="21"/>
      <c r="Q263" s="21"/>
      <c r="R263" s="21"/>
      <c r="S263" s="21"/>
      <c r="T263" s="21"/>
      <c r="U263" s="26">
        <v>8.0</v>
      </c>
      <c r="V263" s="21" t="s">
        <v>977</v>
      </c>
      <c r="W263" s="21" t="s">
        <v>978</v>
      </c>
      <c r="X263" s="26">
        <v>11.0</v>
      </c>
      <c r="Y263" s="27" t="s">
        <v>989</v>
      </c>
      <c r="Z263" s="21"/>
      <c r="AA263" s="21"/>
      <c r="AB263" s="21"/>
      <c r="AC263" s="21"/>
      <c r="AD263" s="21"/>
    </row>
    <row r="264">
      <c r="A264" s="70" t="s">
        <v>446</v>
      </c>
      <c r="B264" s="21"/>
      <c r="C264" s="21"/>
      <c r="D264" s="21"/>
      <c r="E264" s="21"/>
      <c r="F264" s="21"/>
      <c r="G264" s="21"/>
      <c r="H264" s="21"/>
      <c r="I264" s="21"/>
      <c r="J264" s="21"/>
      <c r="K264" s="21"/>
      <c r="L264" s="21"/>
      <c r="M264" s="21"/>
      <c r="N264" s="21"/>
      <c r="O264" s="21"/>
      <c r="P264" s="21"/>
      <c r="Q264" s="21"/>
      <c r="R264" s="21"/>
      <c r="S264" s="21"/>
      <c r="T264" s="21"/>
      <c r="U264" s="26">
        <v>8.0</v>
      </c>
      <c r="V264" s="21" t="s">
        <v>977</v>
      </c>
      <c r="W264" s="21" t="s">
        <v>978</v>
      </c>
      <c r="X264" s="26">
        <v>12.0</v>
      </c>
      <c r="Y264" s="27" t="s">
        <v>990</v>
      </c>
      <c r="Z264" s="21"/>
      <c r="AA264" s="21"/>
      <c r="AB264" s="21"/>
      <c r="AC264" s="21"/>
      <c r="AD264" s="21"/>
    </row>
    <row r="265">
      <c r="A265" s="70" t="s">
        <v>446</v>
      </c>
      <c r="B265" s="21"/>
      <c r="C265" s="21"/>
      <c r="D265" s="21"/>
      <c r="E265" s="21"/>
      <c r="F265" s="21"/>
      <c r="G265" s="21"/>
      <c r="H265" s="21"/>
      <c r="I265" s="21"/>
      <c r="J265" s="21"/>
      <c r="K265" s="21"/>
      <c r="L265" s="21"/>
      <c r="M265" s="21"/>
      <c r="N265" s="21"/>
      <c r="O265" s="21"/>
      <c r="P265" s="21"/>
      <c r="Q265" s="21"/>
      <c r="R265" s="21"/>
      <c r="S265" s="21"/>
      <c r="T265" s="21"/>
      <c r="U265" s="26">
        <v>9.0</v>
      </c>
      <c r="V265" s="21" t="s">
        <v>991</v>
      </c>
      <c r="W265" s="21" t="s">
        <v>992</v>
      </c>
      <c r="X265" s="26">
        <v>1.0</v>
      </c>
      <c r="Y265" s="21" t="s">
        <v>993</v>
      </c>
      <c r="Z265" s="26">
        <v>1.0</v>
      </c>
      <c r="AA265" s="21" t="s">
        <v>852</v>
      </c>
      <c r="AB265" s="21" t="s">
        <v>496</v>
      </c>
      <c r="AC265" s="27" t="s">
        <v>994</v>
      </c>
      <c r="AD265" s="21"/>
    </row>
    <row r="266">
      <c r="A266" s="70" t="s">
        <v>446</v>
      </c>
      <c r="B266" s="21"/>
      <c r="C266" s="21"/>
      <c r="D266" s="21"/>
      <c r="E266" s="21"/>
      <c r="F266" s="21"/>
      <c r="G266" s="21"/>
      <c r="H266" s="21"/>
      <c r="I266" s="21"/>
      <c r="J266" s="21"/>
      <c r="K266" s="21"/>
      <c r="L266" s="21"/>
      <c r="M266" s="21"/>
      <c r="N266" s="21"/>
      <c r="O266" s="21"/>
      <c r="P266" s="21"/>
      <c r="Q266" s="21"/>
      <c r="R266" s="21"/>
      <c r="S266" s="21"/>
      <c r="T266" s="21"/>
      <c r="U266" s="26">
        <v>9.0</v>
      </c>
      <c r="V266" s="21" t="s">
        <v>991</v>
      </c>
      <c r="W266" s="21" t="s">
        <v>992</v>
      </c>
      <c r="X266" s="26">
        <v>1.0</v>
      </c>
      <c r="Y266" s="21" t="s">
        <v>993</v>
      </c>
      <c r="Z266" s="26">
        <v>1.0</v>
      </c>
      <c r="AA266" s="21" t="s">
        <v>852</v>
      </c>
      <c r="AB266" s="21" t="s">
        <v>499</v>
      </c>
      <c r="AC266" s="27" t="s">
        <v>995</v>
      </c>
      <c r="AD266" s="21"/>
    </row>
    <row r="267">
      <c r="A267" s="70" t="s">
        <v>446</v>
      </c>
      <c r="B267" s="21"/>
      <c r="C267" s="21"/>
      <c r="D267" s="21"/>
      <c r="E267" s="21"/>
      <c r="F267" s="21"/>
      <c r="G267" s="21"/>
      <c r="H267" s="21"/>
      <c r="I267" s="21"/>
      <c r="J267" s="21"/>
      <c r="K267" s="21"/>
      <c r="L267" s="21"/>
      <c r="M267" s="21"/>
      <c r="N267" s="21"/>
      <c r="O267" s="21"/>
      <c r="P267" s="21"/>
      <c r="Q267" s="21"/>
      <c r="R267" s="21"/>
      <c r="S267" s="21"/>
      <c r="T267" s="21"/>
      <c r="U267" s="26">
        <v>9.0</v>
      </c>
      <c r="V267" s="21" t="s">
        <v>991</v>
      </c>
      <c r="W267" s="21" t="s">
        <v>992</v>
      </c>
      <c r="X267" s="26">
        <v>1.0</v>
      </c>
      <c r="Y267" s="21" t="s">
        <v>993</v>
      </c>
      <c r="Z267" s="26">
        <v>1.0</v>
      </c>
      <c r="AA267" s="21" t="s">
        <v>852</v>
      </c>
      <c r="AB267" s="21" t="s">
        <v>477</v>
      </c>
      <c r="AC267" s="27" t="s">
        <v>996</v>
      </c>
      <c r="AD267" s="21"/>
    </row>
    <row r="268">
      <c r="A268" s="70" t="s">
        <v>446</v>
      </c>
      <c r="B268" s="21"/>
      <c r="C268" s="21"/>
      <c r="D268" s="21"/>
      <c r="E268" s="21"/>
      <c r="F268" s="21"/>
      <c r="G268" s="21"/>
      <c r="H268" s="21"/>
      <c r="I268" s="21"/>
      <c r="J268" s="21"/>
      <c r="K268" s="21"/>
      <c r="L268" s="21"/>
      <c r="M268" s="21"/>
      <c r="N268" s="21"/>
      <c r="O268" s="21"/>
      <c r="P268" s="21"/>
      <c r="Q268" s="21"/>
      <c r="R268" s="21"/>
      <c r="S268" s="21"/>
      <c r="T268" s="21"/>
      <c r="U268" s="26">
        <v>9.0</v>
      </c>
      <c r="V268" s="21" t="s">
        <v>991</v>
      </c>
      <c r="W268" s="21" t="s">
        <v>992</v>
      </c>
      <c r="X268" s="26">
        <v>2.0</v>
      </c>
      <c r="Y268" s="21" t="s">
        <v>997</v>
      </c>
      <c r="Z268" s="26">
        <v>2.0</v>
      </c>
      <c r="AA268" s="21" t="s">
        <v>852</v>
      </c>
      <c r="AB268" s="21" t="s">
        <v>496</v>
      </c>
      <c r="AC268" s="27" t="s">
        <v>998</v>
      </c>
      <c r="AD268" s="21"/>
    </row>
    <row r="269">
      <c r="A269" s="70" t="s">
        <v>446</v>
      </c>
      <c r="B269" s="21"/>
      <c r="C269" s="21"/>
      <c r="D269" s="21"/>
      <c r="E269" s="21"/>
      <c r="F269" s="21"/>
      <c r="G269" s="21"/>
      <c r="H269" s="21"/>
      <c r="I269" s="21"/>
      <c r="J269" s="21"/>
      <c r="K269" s="21"/>
      <c r="L269" s="21"/>
      <c r="M269" s="21"/>
      <c r="N269" s="21"/>
      <c r="O269" s="21"/>
      <c r="P269" s="21"/>
      <c r="Q269" s="21"/>
      <c r="R269" s="21"/>
      <c r="S269" s="21"/>
      <c r="T269" s="21"/>
      <c r="U269" s="26">
        <v>9.0</v>
      </c>
      <c r="V269" s="21" t="s">
        <v>991</v>
      </c>
      <c r="W269" s="21" t="s">
        <v>992</v>
      </c>
      <c r="X269" s="26">
        <v>3.0</v>
      </c>
      <c r="Y269" s="21" t="s">
        <v>999</v>
      </c>
      <c r="Z269" s="26">
        <v>3.0</v>
      </c>
      <c r="AA269" s="21" t="s">
        <v>852</v>
      </c>
      <c r="AB269" s="21" t="s">
        <v>496</v>
      </c>
      <c r="AC269" s="27" t="s">
        <v>1000</v>
      </c>
      <c r="AD269" s="21"/>
    </row>
    <row r="270">
      <c r="A270" s="70" t="s">
        <v>446</v>
      </c>
      <c r="B270" s="21"/>
      <c r="C270" s="21"/>
      <c r="D270" s="21"/>
      <c r="E270" s="21"/>
      <c r="F270" s="21"/>
      <c r="G270" s="21"/>
      <c r="H270" s="21"/>
      <c r="I270" s="21"/>
      <c r="J270" s="21"/>
      <c r="K270" s="21"/>
      <c r="L270" s="21"/>
      <c r="M270" s="21"/>
      <c r="N270" s="21"/>
      <c r="O270" s="21"/>
      <c r="P270" s="21"/>
      <c r="Q270" s="21"/>
      <c r="R270" s="21"/>
      <c r="S270" s="21"/>
      <c r="T270" s="21"/>
      <c r="U270" s="26">
        <v>9.0</v>
      </c>
      <c r="V270" s="21" t="s">
        <v>991</v>
      </c>
      <c r="W270" s="21" t="s">
        <v>992</v>
      </c>
      <c r="X270" s="26">
        <v>4.0</v>
      </c>
      <c r="Y270" s="21" t="s">
        <v>1001</v>
      </c>
      <c r="Z270" s="26">
        <v>4.0</v>
      </c>
      <c r="AA270" s="21" t="s">
        <v>852</v>
      </c>
      <c r="AB270" s="21" t="s">
        <v>496</v>
      </c>
      <c r="AC270" s="27" t="s">
        <v>1002</v>
      </c>
      <c r="AD270" s="21"/>
    </row>
    <row r="271">
      <c r="A271" s="70" t="s">
        <v>446</v>
      </c>
      <c r="B271" s="21"/>
      <c r="C271" s="21"/>
      <c r="D271" s="21"/>
      <c r="E271" s="21"/>
      <c r="F271" s="21"/>
      <c r="G271" s="21"/>
      <c r="H271" s="21"/>
      <c r="I271" s="21"/>
      <c r="J271" s="21"/>
      <c r="K271" s="21"/>
      <c r="L271" s="21"/>
      <c r="M271" s="21"/>
      <c r="N271" s="21"/>
      <c r="O271" s="21"/>
      <c r="P271" s="21"/>
      <c r="Q271" s="21"/>
      <c r="R271" s="21"/>
      <c r="S271" s="21"/>
      <c r="T271" s="21"/>
      <c r="U271" s="26">
        <v>9.0</v>
      </c>
      <c r="V271" s="21" t="s">
        <v>991</v>
      </c>
      <c r="W271" s="21" t="s">
        <v>992</v>
      </c>
      <c r="X271" s="26">
        <v>5.0</v>
      </c>
      <c r="Y271" s="21" t="s">
        <v>1003</v>
      </c>
      <c r="Z271" s="26">
        <v>5.0</v>
      </c>
      <c r="AA271" s="21" t="s">
        <v>852</v>
      </c>
      <c r="AB271" s="21" t="s">
        <v>496</v>
      </c>
      <c r="AC271" s="27" t="s">
        <v>1004</v>
      </c>
      <c r="AD271" s="21"/>
    </row>
    <row r="272">
      <c r="A272" s="70" t="s">
        <v>446</v>
      </c>
      <c r="B272" s="21"/>
      <c r="C272" s="21"/>
      <c r="D272" s="21"/>
      <c r="E272" s="21"/>
      <c r="F272" s="21"/>
      <c r="G272" s="21"/>
      <c r="H272" s="21"/>
      <c r="I272" s="21"/>
      <c r="J272" s="21"/>
      <c r="K272" s="21"/>
      <c r="L272" s="21"/>
      <c r="M272" s="21"/>
      <c r="N272" s="21"/>
      <c r="O272" s="21"/>
      <c r="P272" s="21"/>
      <c r="Q272" s="21"/>
      <c r="R272" s="21"/>
      <c r="S272" s="21"/>
      <c r="T272" s="21"/>
      <c r="U272" s="26">
        <v>9.0</v>
      </c>
      <c r="V272" s="21" t="s">
        <v>991</v>
      </c>
      <c r="W272" s="21" t="s">
        <v>992</v>
      </c>
      <c r="X272" s="26">
        <v>5.0</v>
      </c>
      <c r="Y272" s="21" t="s">
        <v>1003</v>
      </c>
      <c r="Z272" s="26">
        <v>5.0</v>
      </c>
      <c r="AA272" s="21" t="s">
        <v>852</v>
      </c>
      <c r="AB272" s="21" t="s">
        <v>499</v>
      </c>
      <c r="AC272" s="27" t="s">
        <v>1005</v>
      </c>
      <c r="AD272" s="21"/>
    </row>
    <row r="273">
      <c r="A273" s="70" t="s">
        <v>446</v>
      </c>
      <c r="B273" s="21"/>
      <c r="C273" s="21"/>
      <c r="D273" s="21"/>
      <c r="E273" s="21"/>
      <c r="F273" s="21"/>
      <c r="G273" s="21"/>
      <c r="H273" s="21"/>
      <c r="I273" s="21"/>
      <c r="J273" s="21"/>
      <c r="K273" s="21"/>
      <c r="L273" s="21"/>
      <c r="M273" s="21"/>
      <c r="N273" s="21"/>
      <c r="O273" s="21"/>
      <c r="P273" s="21"/>
      <c r="Q273" s="21"/>
      <c r="R273" s="21"/>
      <c r="S273" s="21"/>
      <c r="T273" s="21"/>
      <c r="U273" s="26">
        <v>9.0</v>
      </c>
      <c r="V273" s="21" t="s">
        <v>991</v>
      </c>
      <c r="W273" s="21" t="s">
        <v>992</v>
      </c>
      <c r="X273" s="26">
        <v>6.0</v>
      </c>
      <c r="Y273" s="21" t="s">
        <v>1006</v>
      </c>
      <c r="Z273" s="26">
        <v>6.0</v>
      </c>
      <c r="AA273" s="21" t="s">
        <v>852</v>
      </c>
      <c r="AB273" s="21" t="s">
        <v>496</v>
      </c>
      <c r="AC273" s="27" t="s">
        <v>1007</v>
      </c>
      <c r="AD273" s="21"/>
    </row>
    <row r="274">
      <c r="A274" s="70" t="s">
        <v>446</v>
      </c>
      <c r="B274" s="21"/>
      <c r="C274" s="21"/>
      <c r="D274" s="21"/>
      <c r="E274" s="21"/>
      <c r="F274" s="21"/>
      <c r="G274" s="21"/>
      <c r="H274" s="21"/>
      <c r="I274" s="21"/>
      <c r="J274" s="21"/>
      <c r="K274" s="21"/>
      <c r="L274" s="21"/>
      <c r="M274" s="21"/>
      <c r="N274" s="21"/>
      <c r="O274" s="21"/>
      <c r="P274" s="21"/>
      <c r="Q274" s="21"/>
      <c r="R274" s="21"/>
      <c r="S274" s="21"/>
      <c r="T274" s="21"/>
      <c r="U274" s="26">
        <v>9.0</v>
      </c>
      <c r="V274" s="21" t="s">
        <v>991</v>
      </c>
      <c r="W274" s="21" t="s">
        <v>992</v>
      </c>
      <c r="X274" s="26">
        <v>7.0</v>
      </c>
      <c r="Y274" s="21" t="s">
        <v>1008</v>
      </c>
      <c r="Z274" s="26">
        <v>7.0</v>
      </c>
      <c r="AA274" s="21" t="s">
        <v>852</v>
      </c>
      <c r="AB274" s="21" t="s">
        <v>496</v>
      </c>
      <c r="AC274" s="27" t="s">
        <v>1009</v>
      </c>
      <c r="AD274" s="21"/>
    </row>
    <row r="275">
      <c r="A275" s="70" t="s">
        <v>446</v>
      </c>
      <c r="B275" s="21"/>
      <c r="C275" s="21"/>
      <c r="D275" s="21"/>
      <c r="E275" s="21"/>
      <c r="F275" s="21"/>
      <c r="G275" s="21"/>
      <c r="H275" s="21"/>
      <c r="I275" s="21"/>
      <c r="J275" s="21"/>
      <c r="K275" s="21"/>
      <c r="L275" s="21"/>
      <c r="M275" s="21"/>
      <c r="N275" s="21"/>
      <c r="O275" s="21"/>
      <c r="P275" s="21"/>
      <c r="Q275" s="21"/>
      <c r="R275" s="21"/>
      <c r="S275" s="21"/>
      <c r="T275" s="21"/>
      <c r="U275" s="26">
        <v>9.0</v>
      </c>
      <c r="V275" s="21" t="s">
        <v>991</v>
      </c>
      <c r="W275" s="21" t="s">
        <v>992</v>
      </c>
      <c r="X275" s="26">
        <v>7.0</v>
      </c>
      <c r="Y275" s="21" t="s">
        <v>1008</v>
      </c>
      <c r="Z275" s="26">
        <v>7.0</v>
      </c>
      <c r="AA275" s="21" t="s">
        <v>852</v>
      </c>
      <c r="AB275" s="21" t="s">
        <v>499</v>
      </c>
      <c r="AC275" s="27" t="s">
        <v>1010</v>
      </c>
      <c r="AD275" s="21"/>
    </row>
    <row r="276">
      <c r="A276" s="70"/>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row>
    <row r="277">
      <c r="A277" s="70"/>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row>
    <row r="278">
      <c r="A278" s="70"/>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row>
    <row r="279">
      <c r="A279" s="70"/>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row>
    <row r="280">
      <c r="A280" s="70"/>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row>
    <row r="28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row>
    <row r="282">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row>
    <row r="283">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row>
    <row r="284">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row>
    <row r="285">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row>
    <row r="286">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row>
    <row r="287">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row>
    <row r="288">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row>
    <row r="289">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row>
    <row r="290">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row>
    <row r="29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row>
    <row r="292">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row>
    <row r="293">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row>
    <row r="294">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row>
    <row r="295">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row>
    <row r="296">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row>
    <row r="297">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row>
    <row r="298">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row>
    <row r="299">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row>
    <row r="300">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row>
    <row r="30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row>
    <row r="302">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row>
    <row r="303">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row>
    <row r="304">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row>
    <row r="305">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row>
    <row r="306">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row>
    <row r="307">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row>
    <row r="308">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row>
    <row r="309">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row>
    <row r="310">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row>
    <row r="31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row>
    <row r="312">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row>
    <row r="313">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row>
    <row r="314">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row>
    <row r="315">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row>
    <row r="316">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row>
    <row r="317">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row>
    <row r="318">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row>
    <row r="319">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row>
    <row r="320">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row>
    <row r="32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row>
    <row r="322">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row>
    <row r="323">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row>
    <row r="324">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row>
    <row r="325">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row>
    <row r="326">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row>
    <row r="327">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row>
    <row r="328">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row>
    <row r="329">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row>
    <row r="330">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row>
    <row r="33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row>
    <row r="332">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row>
    <row r="333">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row>
    <row r="334">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row>
    <row r="335">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row>
    <row r="336">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row>
    <row r="337">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row>
    <row r="338">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row>
    <row r="339">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row>
    <row r="340">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row>
    <row r="34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row>
    <row r="342">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row>
    <row r="343">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row>
    <row r="344">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row>
    <row r="345">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row>
    <row r="346">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row>
    <row r="347">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row>
    <row r="348">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row>
    <row r="349">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row>
    <row r="350">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row>
    <row r="35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row>
    <row r="352">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row>
    <row r="353">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row>
    <row r="354">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row>
    <row r="355">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row>
    <row r="356">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row>
    <row r="357">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row>
    <row r="358">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row>
    <row r="359">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row>
    <row r="360">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row>
    <row r="36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row>
    <row r="362">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row>
    <row r="363">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row>
    <row r="364">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row>
    <row r="365">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row>
    <row r="366">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row>
    <row r="367">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row>
    <row r="368">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row>
    <row r="369">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row>
    <row r="370">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row>
    <row r="37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row>
    <row r="372">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row>
    <row r="373">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row>
    <row r="374">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row>
    <row r="375">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row>
    <row r="376">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row>
    <row r="377">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row>
    <row r="378">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row>
    <row r="379">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row>
    <row r="380">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row>
    <row r="38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row>
    <row r="382">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row>
    <row r="383">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row>
    <row r="384">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row>
    <row r="385">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row>
    <row r="386">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row>
    <row r="387">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row>
    <row r="388">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row>
    <row r="389">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row>
    <row r="390">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row>
    <row r="39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row>
    <row r="392">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row>
    <row r="393">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row>
    <row r="394">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row>
    <row r="395">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row>
    <row r="396">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row>
    <row r="397">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row>
    <row r="398">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row>
    <row r="399">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row>
    <row r="400">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row>
    <row r="40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row>
    <row r="402">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row>
    <row r="403">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row>
    <row r="404">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row>
    <row r="405">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row>
    <row r="406">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row>
    <row r="407">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row>
    <row r="408">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row>
    <row r="409">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row>
    <row r="410">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row>
    <row r="41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row>
    <row r="412">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row>
    <row r="413">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row>
    <row r="414">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row>
    <row r="415">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row>
    <row r="416">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row>
    <row r="417">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row>
    <row r="418">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row>
    <row r="419">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row>
    <row r="420">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row>
    <row r="42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row>
    <row r="422">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row>
    <row r="423">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row>
    <row r="424">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row>
    <row r="425">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row>
    <row r="426">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row>
    <row r="427">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row>
    <row r="428">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row>
    <row r="429">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row>
    <row r="430">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row>
    <row r="43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row>
    <row r="432">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row>
    <row r="433">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row>
    <row r="434">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row>
    <row r="435">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row>
    <row r="436">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row>
    <row r="437">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row>
    <row r="438">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row>
    <row r="439">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row>
    <row r="440">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row>
    <row r="44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row>
    <row r="442">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row>
    <row r="443">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row>
    <row r="444">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row>
    <row r="445">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row>
    <row r="446">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row>
    <row r="447">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row>
    <row r="448">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row>
    <row r="449">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row>
    <row r="450">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row>
    <row r="45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row>
    <row r="452">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row>
    <row r="453">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row>
    <row r="454">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row>
    <row r="455">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row>
    <row r="456">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row>
    <row r="457">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row>
    <row r="458">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row>
    <row r="459">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row>
    <row r="460">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row>
    <row r="46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row>
    <row r="462">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row>
    <row r="463">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row>
    <row r="464">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row>
    <row r="465">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row>
    <row r="466">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row>
    <row r="467">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row>
    <row r="468">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row>
    <row r="469">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row>
    <row r="470">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row>
    <row r="47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row>
    <row r="472">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row>
    <row r="473">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row>
    <row r="474">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row>
    <row r="475">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row>
    <row r="476">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row>
    <row r="477">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row>
    <row r="478">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row>
    <row r="479">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row>
    <row r="480">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row>
    <row r="48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row>
    <row r="482">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row>
    <row r="483">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row>
    <row r="484">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row>
    <row r="485">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row>
    <row r="486">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row>
    <row r="487">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row>
    <row r="488">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row>
    <row r="489">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row>
    <row r="490">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row>
    <row r="49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row>
    <row r="492">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row>
    <row r="493">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row>
    <row r="494">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row>
    <row r="495">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row>
    <row r="496">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row>
    <row r="497">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row>
    <row r="498">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row>
    <row r="499">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row>
    <row r="500">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row>
    <row r="50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row>
    <row r="502">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row>
    <row r="503">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row>
    <row r="504">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row>
    <row r="505">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row>
    <row r="506">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row>
    <row r="507">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row>
    <row r="508">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row>
    <row r="509">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row>
    <row r="510">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row>
    <row r="51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row>
    <row r="512">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row>
    <row r="513">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row>
    <row r="514">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row>
    <row r="515">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row>
    <row r="516">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row>
    <row r="517">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row>
    <row r="518">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row>
    <row r="519">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row>
    <row r="520">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row>
    <row r="52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row>
    <row r="522">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row>
    <row r="523">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row>
    <row r="524">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row>
    <row r="525">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row>
    <row r="526">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row>
    <row r="527">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row>
    <row r="528">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row>
    <row r="529">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row>
    <row r="530">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row>
    <row r="53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row>
    <row r="532">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row>
    <row r="533">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row>
    <row r="534">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row>
    <row r="535">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row>
    <row r="536">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row>
    <row r="537">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row>
    <row r="538">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row>
    <row r="539">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row>
    <row r="540">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row>
    <row r="54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row>
    <row r="542">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row>
    <row r="543">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row>
    <row r="544">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row>
    <row r="545">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row>
    <row r="546">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row>
    <row r="547">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row>
    <row r="548">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row>
    <row r="549">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row>
    <row r="550">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row>
    <row r="55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row>
    <row r="552">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row>
    <row r="553">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row>
    <row r="554">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row>
    <row r="555">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row>
    <row r="556">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row>
    <row r="557">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row>
    <row r="558">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row>
    <row r="559">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row>
    <row r="560">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row>
    <row r="56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row>
    <row r="562">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row>
    <row r="563">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row>
    <row r="564">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row>
    <row r="565">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row>
    <row r="566">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row>
    <row r="567">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row>
    <row r="568">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row>
    <row r="569">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row>
    <row r="570">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row>
    <row r="57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row>
    <row r="572">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row>
    <row r="573">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row>
    <row r="574">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row>
    <row r="575">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row>
    <row r="576">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row>
    <row r="577">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row>
    <row r="578">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row>
    <row r="579">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row>
    <row r="580">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row>
    <row r="58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row>
    <row r="582">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row>
    <row r="583">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row>
    <row r="584">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row>
    <row r="585">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row>
    <row r="586">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row>
    <row r="587">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row>
    <row r="588">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row>
    <row r="589">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row>
    <row r="590">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row>
    <row r="59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row>
    <row r="592">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row>
    <row r="593">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row>
    <row r="594">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row>
    <row r="595">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row>
    <row r="596">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row>
    <row r="597">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row>
    <row r="598">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row>
    <row r="599">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row>
    <row r="600">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row>
    <row r="60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row>
    <row r="602">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row>
    <row r="603">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row>
    <row r="604">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row>
    <row r="605">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row>
    <row r="606">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row>
    <row r="607">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row>
    <row r="608">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row>
    <row r="609">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row>
    <row r="610">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row>
    <row r="61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row>
    <row r="612">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row>
    <row r="613">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row>
    <row r="614">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row>
    <row r="615">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row>
    <row r="616">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row>
    <row r="617">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row>
    <row r="618">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row>
    <row r="619">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row>
    <row r="620">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row>
    <row r="62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row>
    <row r="622">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row>
    <row r="623">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row>
    <row r="624">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row>
    <row r="625">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row>
    <row r="626">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row>
    <row r="627">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row>
    <row r="628">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row>
    <row r="629">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row>
    <row r="630">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row>
    <row r="63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row>
    <row r="632">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row>
    <row r="633">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row>
    <row r="634">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row>
  </sheetData>
  <mergeCells count="65">
    <mergeCell ref="L56:P56"/>
    <mergeCell ref="L57:P57"/>
    <mergeCell ref="L58:P58"/>
    <mergeCell ref="L59:P59"/>
    <mergeCell ref="L60:P60"/>
    <mergeCell ref="N61:P61"/>
    <mergeCell ref="N62:P62"/>
    <mergeCell ref="L70:P70"/>
    <mergeCell ref="L71:P71"/>
    <mergeCell ref="L63:P63"/>
    <mergeCell ref="N64:P64"/>
    <mergeCell ref="N65:P65"/>
    <mergeCell ref="N66:P66"/>
    <mergeCell ref="N67:P67"/>
    <mergeCell ref="N68:P68"/>
    <mergeCell ref="N69:P69"/>
    <mergeCell ref="N2:P2"/>
    <mergeCell ref="N3:P3"/>
    <mergeCell ref="N4:P4"/>
    <mergeCell ref="N5:P5"/>
    <mergeCell ref="N6:P6"/>
    <mergeCell ref="N7:P7"/>
    <mergeCell ref="N8:P8"/>
    <mergeCell ref="N9:P9"/>
    <mergeCell ref="N10:P10"/>
    <mergeCell ref="N12:P12"/>
    <mergeCell ref="L13:P13"/>
    <mergeCell ref="N14:P14"/>
    <mergeCell ref="N15:O15"/>
    <mergeCell ref="N16:P16"/>
    <mergeCell ref="N17:P17"/>
    <mergeCell ref="N18:P18"/>
    <mergeCell ref="N19:P19"/>
    <mergeCell ref="N20:P20"/>
    <mergeCell ref="L21:P21"/>
    <mergeCell ref="L22:P22"/>
    <mergeCell ref="L23:P23"/>
    <mergeCell ref="L24:P24"/>
    <mergeCell ref="N25:P25"/>
    <mergeCell ref="N26:P26"/>
    <mergeCell ref="N28:P28"/>
    <mergeCell ref="N29:P29"/>
    <mergeCell ref="L30:P30"/>
    <mergeCell ref="L31:P31"/>
    <mergeCell ref="L32:P32"/>
    <mergeCell ref="L33:P33"/>
    <mergeCell ref="L34:P34"/>
    <mergeCell ref="L35:P35"/>
    <mergeCell ref="N39:P39"/>
    <mergeCell ref="N40:P40"/>
    <mergeCell ref="N41:P41"/>
    <mergeCell ref="N42:P42"/>
    <mergeCell ref="N43:P43"/>
    <mergeCell ref="N44:P44"/>
    <mergeCell ref="N45:P45"/>
    <mergeCell ref="N46:P46"/>
    <mergeCell ref="N47:P47"/>
    <mergeCell ref="L48:P48"/>
    <mergeCell ref="L49:P49"/>
    <mergeCell ref="L50:P50"/>
    <mergeCell ref="L51:P51"/>
    <mergeCell ref="L52:P52"/>
    <mergeCell ref="L53:P53"/>
    <mergeCell ref="L54:P54"/>
    <mergeCell ref="L55:P5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1.0" topLeftCell="A12" activePane="bottomLeft" state="frozen"/>
      <selection activeCell="B13" sqref="B13" pane="bottomLeft"/>
    </sheetView>
  </sheetViews>
  <sheetFormatPr customHeight="1" defaultColWidth="12.63" defaultRowHeight="15.75"/>
  <cols>
    <col customWidth="1" min="1" max="1" width="27.13"/>
    <col customWidth="1" min="4" max="4" width="45.5"/>
  </cols>
  <sheetData>
    <row r="1">
      <c r="A1" s="30" t="s">
        <v>1</v>
      </c>
      <c r="B1" s="30" t="s">
        <v>2</v>
      </c>
      <c r="C1" s="30" t="s">
        <v>3</v>
      </c>
      <c r="D1" s="71"/>
      <c r="E1" s="71"/>
      <c r="F1" s="71"/>
      <c r="G1" s="71"/>
      <c r="H1" s="71"/>
      <c r="I1" s="71"/>
      <c r="J1" s="71"/>
      <c r="K1" s="71"/>
      <c r="L1" s="71"/>
      <c r="M1" s="71"/>
      <c r="N1" s="72"/>
      <c r="O1" s="72"/>
      <c r="P1" s="72"/>
      <c r="Q1" s="72"/>
      <c r="R1" s="72"/>
      <c r="S1" s="72"/>
      <c r="T1" s="72"/>
      <c r="U1" s="72"/>
      <c r="V1" s="72"/>
      <c r="W1" s="72"/>
      <c r="X1" s="72"/>
      <c r="Y1" s="72"/>
      <c r="Z1" s="72"/>
      <c r="AA1" s="72"/>
      <c r="AB1" s="72"/>
      <c r="AC1" s="72"/>
      <c r="AD1" s="72"/>
    </row>
    <row r="2">
      <c r="A2" s="30" t="s">
        <v>1</v>
      </c>
      <c r="B2" s="30" t="s">
        <v>26</v>
      </c>
      <c r="C2" s="73" t="s">
        <v>1011</v>
      </c>
      <c r="D2" s="71"/>
      <c r="E2" s="71"/>
      <c r="F2" s="71"/>
      <c r="G2" s="71"/>
      <c r="H2" s="71"/>
      <c r="I2" s="71"/>
      <c r="J2" s="71"/>
      <c r="K2" s="71"/>
      <c r="L2" s="71"/>
      <c r="M2" s="71"/>
      <c r="N2" s="72"/>
      <c r="O2" s="72"/>
      <c r="P2" s="72"/>
      <c r="Q2" s="72"/>
      <c r="R2" s="72"/>
      <c r="S2" s="72"/>
      <c r="T2" s="72"/>
      <c r="U2" s="72"/>
      <c r="V2" s="72"/>
      <c r="W2" s="72"/>
      <c r="X2" s="72"/>
      <c r="Y2" s="72"/>
      <c r="Z2" s="72"/>
      <c r="AA2" s="72"/>
      <c r="AB2" s="72"/>
      <c r="AC2" s="72"/>
      <c r="AD2" s="72"/>
    </row>
    <row r="3">
      <c r="A3" s="74" t="s">
        <v>6</v>
      </c>
      <c r="B3" s="74" t="s">
        <v>7</v>
      </c>
      <c r="C3" s="75"/>
      <c r="D3" s="75"/>
      <c r="E3" s="75"/>
      <c r="F3" s="76"/>
      <c r="G3" s="76"/>
      <c r="H3" s="76"/>
      <c r="I3" s="76"/>
      <c r="J3" s="76"/>
      <c r="K3" s="76"/>
      <c r="L3" s="76"/>
      <c r="M3" s="76"/>
      <c r="N3" s="76"/>
      <c r="O3" s="76"/>
      <c r="P3" s="76"/>
      <c r="Q3" s="76"/>
      <c r="R3" s="76"/>
      <c r="S3" s="76"/>
      <c r="T3" s="76"/>
      <c r="U3" s="76"/>
      <c r="V3" s="76"/>
      <c r="W3" s="76"/>
      <c r="X3" s="76"/>
      <c r="Y3" s="76"/>
      <c r="Z3" s="76"/>
      <c r="AA3" s="76"/>
      <c r="AB3" s="76"/>
      <c r="AC3" s="76"/>
      <c r="AD3" s="76"/>
    </row>
    <row r="4">
      <c r="A4" s="77" t="s">
        <v>1012</v>
      </c>
      <c r="B4" s="78" t="s">
        <v>1013</v>
      </c>
      <c r="C4" s="30"/>
      <c r="D4" s="30"/>
      <c r="E4" s="30"/>
      <c r="F4" s="21"/>
      <c r="G4" s="21"/>
      <c r="H4" s="21"/>
      <c r="I4" s="21"/>
      <c r="J4" s="21"/>
      <c r="K4" s="21"/>
      <c r="L4" s="21"/>
      <c r="M4" s="21"/>
      <c r="N4" s="21"/>
      <c r="O4" s="21"/>
      <c r="P4" s="21"/>
      <c r="Q4" s="21"/>
      <c r="R4" s="21"/>
      <c r="S4" s="21"/>
      <c r="T4" s="21"/>
      <c r="U4" s="21"/>
      <c r="V4" s="21"/>
      <c r="W4" s="21"/>
      <c r="X4" s="21"/>
      <c r="Y4" s="21"/>
      <c r="Z4" s="21"/>
      <c r="AA4" s="21"/>
      <c r="AB4" s="21"/>
      <c r="AC4" s="21"/>
      <c r="AD4" s="21"/>
    </row>
    <row r="5">
      <c r="A5" s="79" t="s">
        <v>1014</v>
      </c>
      <c r="B5" s="80" t="s">
        <v>1015</v>
      </c>
      <c r="C5" s="79"/>
      <c r="D5" s="81"/>
      <c r="E5" s="81"/>
      <c r="F5" s="81"/>
      <c r="G5" s="81"/>
      <c r="H5" s="81"/>
      <c r="I5" s="81"/>
      <c r="J5" s="81"/>
      <c r="K5" s="81"/>
      <c r="L5" s="81"/>
      <c r="M5" s="81"/>
      <c r="N5" s="82"/>
      <c r="O5" s="83"/>
      <c r="P5" s="83"/>
      <c r="Q5" s="83"/>
      <c r="R5" s="83"/>
      <c r="S5" s="83"/>
      <c r="T5" s="83"/>
      <c r="U5" s="83"/>
      <c r="V5" s="83"/>
      <c r="W5" s="83"/>
      <c r="X5" s="83"/>
      <c r="Y5" s="83"/>
      <c r="Z5" s="83"/>
      <c r="AA5" s="83"/>
      <c r="AB5" s="83"/>
      <c r="AC5" s="83"/>
      <c r="AD5" s="83"/>
    </row>
    <row r="6">
      <c r="A6" s="79" t="s">
        <v>1016</v>
      </c>
      <c r="B6" s="80" t="s">
        <v>1017</v>
      </c>
      <c r="C6" s="79"/>
      <c r="D6" s="81"/>
      <c r="E6" s="81"/>
      <c r="F6" s="81"/>
      <c r="G6" s="81"/>
      <c r="H6" s="81"/>
      <c r="I6" s="81"/>
      <c r="J6" s="81"/>
      <c r="K6" s="81"/>
      <c r="L6" s="81"/>
      <c r="M6" s="81"/>
      <c r="N6" s="82"/>
      <c r="O6" s="83"/>
      <c r="P6" s="83"/>
      <c r="Q6" s="83"/>
      <c r="R6" s="83"/>
      <c r="S6" s="83"/>
      <c r="T6" s="83"/>
      <c r="U6" s="83"/>
      <c r="V6" s="83"/>
      <c r="W6" s="83"/>
      <c r="X6" s="83"/>
      <c r="Y6" s="83"/>
      <c r="Z6" s="83"/>
      <c r="AA6" s="83"/>
      <c r="AB6" s="83"/>
      <c r="AC6" s="83"/>
      <c r="AD6" s="83"/>
    </row>
    <row r="7">
      <c r="A7" s="79" t="s">
        <v>1018</v>
      </c>
      <c r="B7" s="84" t="s">
        <v>1019</v>
      </c>
      <c r="C7" s="81"/>
      <c r="D7" s="81"/>
      <c r="E7" s="81"/>
      <c r="F7" s="81"/>
      <c r="G7" s="81"/>
      <c r="H7" s="81"/>
      <c r="I7" s="81"/>
      <c r="J7" s="81"/>
      <c r="K7" s="81"/>
      <c r="L7" s="81"/>
      <c r="M7" s="81"/>
      <c r="N7" s="82"/>
      <c r="O7" s="83"/>
      <c r="P7" s="83"/>
      <c r="Q7" s="83"/>
      <c r="R7" s="83"/>
      <c r="S7" s="83"/>
      <c r="T7" s="83"/>
      <c r="U7" s="83"/>
      <c r="V7" s="83"/>
      <c r="W7" s="83"/>
      <c r="X7" s="83"/>
      <c r="Y7" s="83"/>
      <c r="Z7" s="83"/>
      <c r="AA7" s="83"/>
      <c r="AB7" s="83"/>
      <c r="AC7" s="83"/>
      <c r="AD7" s="83"/>
    </row>
    <row r="8">
      <c r="A8" s="79" t="s">
        <v>1020</v>
      </c>
      <c r="B8" s="84" t="s">
        <v>1021</v>
      </c>
      <c r="C8" s="81"/>
      <c r="D8" s="81"/>
      <c r="E8" s="81"/>
      <c r="F8" s="81"/>
      <c r="G8" s="81"/>
      <c r="H8" s="81"/>
      <c r="I8" s="81"/>
      <c r="J8" s="81"/>
      <c r="K8" s="81"/>
      <c r="L8" s="81"/>
      <c r="M8" s="81"/>
      <c r="N8" s="82"/>
      <c r="O8" s="83"/>
      <c r="P8" s="83"/>
      <c r="Q8" s="83"/>
      <c r="R8" s="83"/>
      <c r="S8" s="83"/>
      <c r="T8" s="83"/>
      <c r="U8" s="83"/>
      <c r="V8" s="83"/>
      <c r="W8" s="83"/>
      <c r="X8" s="83"/>
      <c r="Y8" s="83"/>
      <c r="Z8" s="83"/>
      <c r="AA8" s="83"/>
      <c r="AB8" s="83"/>
      <c r="AC8" s="83"/>
      <c r="AD8" s="83"/>
    </row>
    <row r="9">
      <c r="A9" s="79" t="s">
        <v>1022</v>
      </c>
      <c r="B9" s="84" t="s">
        <v>1023</v>
      </c>
      <c r="C9" s="81"/>
      <c r="D9" s="81"/>
      <c r="E9" s="81"/>
      <c r="F9" s="81"/>
      <c r="G9" s="81"/>
      <c r="H9" s="81"/>
      <c r="I9" s="81"/>
      <c r="J9" s="81"/>
      <c r="K9" s="81"/>
      <c r="L9" s="81"/>
      <c r="M9" s="81"/>
      <c r="N9" s="82"/>
      <c r="O9" s="83"/>
      <c r="P9" s="83"/>
      <c r="Q9" s="83"/>
      <c r="R9" s="83"/>
      <c r="S9" s="83"/>
      <c r="T9" s="83"/>
      <c r="U9" s="83"/>
      <c r="V9" s="83"/>
      <c r="W9" s="83"/>
      <c r="X9" s="83"/>
      <c r="Y9" s="83"/>
      <c r="Z9" s="83"/>
      <c r="AA9" s="83"/>
      <c r="AB9" s="83"/>
      <c r="AC9" s="83"/>
      <c r="AD9" s="83"/>
    </row>
    <row r="10">
      <c r="A10" s="79" t="s">
        <v>1024</v>
      </c>
      <c r="B10" s="84" t="s">
        <v>1025</v>
      </c>
      <c r="C10" s="81"/>
      <c r="D10" s="81"/>
      <c r="E10" s="81"/>
      <c r="F10" s="81"/>
      <c r="G10" s="81"/>
      <c r="H10" s="81"/>
      <c r="I10" s="81"/>
      <c r="J10" s="81"/>
      <c r="K10" s="81"/>
      <c r="L10" s="81"/>
      <c r="M10" s="81"/>
      <c r="N10" s="82"/>
      <c r="O10" s="83"/>
      <c r="P10" s="83"/>
      <c r="Q10" s="83"/>
      <c r="R10" s="83"/>
      <c r="S10" s="83"/>
      <c r="T10" s="83"/>
      <c r="U10" s="83"/>
      <c r="V10" s="83"/>
      <c r="W10" s="83"/>
      <c r="X10" s="83"/>
      <c r="Y10" s="83"/>
      <c r="Z10" s="83"/>
      <c r="AA10" s="83"/>
      <c r="AB10" s="83"/>
      <c r="AC10" s="83"/>
      <c r="AD10" s="83"/>
    </row>
    <row r="11">
      <c r="A11" s="85" t="s">
        <v>18</v>
      </c>
      <c r="B11" s="86" t="s">
        <v>1026</v>
      </c>
      <c r="C11" s="85" t="s">
        <v>20</v>
      </c>
      <c r="D11" s="85" t="s">
        <v>22</v>
      </c>
      <c r="E11" s="85" t="s">
        <v>23</v>
      </c>
      <c r="F11" s="85" t="s">
        <v>24</v>
      </c>
      <c r="G11" s="85" t="s">
        <v>25</v>
      </c>
      <c r="H11" s="85" t="s">
        <v>25</v>
      </c>
      <c r="I11" s="85" t="s">
        <v>25</v>
      </c>
      <c r="J11" s="85" t="s">
        <v>25</v>
      </c>
      <c r="K11" s="85" t="s">
        <v>26</v>
      </c>
      <c r="L11" s="85" t="s">
        <v>27</v>
      </c>
      <c r="M11" s="85" t="s">
        <v>28</v>
      </c>
      <c r="N11" s="87" t="s">
        <v>1027</v>
      </c>
      <c r="O11" s="88"/>
      <c r="P11" s="88"/>
      <c r="Q11" s="88"/>
      <c r="R11" s="88"/>
      <c r="S11" s="88"/>
      <c r="T11" s="88"/>
      <c r="U11" s="88"/>
      <c r="V11" s="88"/>
      <c r="W11" s="88"/>
      <c r="X11" s="88"/>
      <c r="Y11" s="88"/>
      <c r="Z11" s="88"/>
      <c r="AA11" s="88"/>
      <c r="AB11" s="88"/>
      <c r="AC11" s="88"/>
      <c r="AD11" s="88"/>
    </row>
    <row r="12">
      <c r="A12" s="6" t="s">
        <v>1028</v>
      </c>
      <c r="B12" s="67" t="s">
        <v>455</v>
      </c>
      <c r="C12" s="6" t="s">
        <v>1029</v>
      </c>
      <c r="D12" s="89" t="s">
        <v>1030</v>
      </c>
      <c r="F12" s="6" t="s">
        <v>1031</v>
      </c>
    </row>
    <row r="13">
      <c r="A13" s="6" t="s">
        <v>1032</v>
      </c>
      <c r="B13" s="67" t="s">
        <v>457</v>
      </c>
      <c r="C13" s="6" t="s">
        <v>1033</v>
      </c>
      <c r="D13" s="89" t="s">
        <v>1034</v>
      </c>
      <c r="F13" s="6" t="s">
        <v>1031</v>
      </c>
    </row>
    <row r="14">
      <c r="A14" s="6" t="s">
        <v>1035</v>
      </c>
      <c r="B14" s="67" t="s">
        <v>459</v>
      </c>
      <c r="C14" s="6" t="s">
        <v>1036</v>
      </c>
      <c r="D14" s="89" t="s">
        <v>1037</v>
      </c>
      <c r="F14" s="6" t="s">
        <v>1031</v>
      </c>
    </row>
    <row r="15">
      <c r="A15" s="6" t="s">
        <v>1038</v>
      </c>
      <c r="B15" s="67" t="s">
        <v>461</v>
      </c>
      <c r="C15" s="6" t="s">
        <v>1039</v>
      </c>
      <c r="D15" s="89" t="s">
        <v>1040</v>
      </c>
      <c r="F15" s="6" t="s">
        <v>1031</v>
      </c>
    </row>
    <row r="16">
      <c r="A16" s="6" t="s">
        <v>1041</v>
      </c>
      <c r="B16" s="67" t="s">
        <v>463</v>
      </c>
      <c r="C16" s="6" t="s">
        <v>1042</v>
      </c>
      <c r="D16" s="89" t="s">
        <v>1043</v>
      </c>
    </row>
    <row r="17">
      <c r="A17" s="12" t="s">
        <v>1044</v>
      </c>
      <c r="B17" s="67" t="s">
        <v>465</v>
      </c>
      <c r="C17" s="12" t="s">
        <v>1045</v>
      </c>
      <c r="D17" s="89" t="s">
        <v>1046</v>
      </c>
      <c r="E17" s="6" t="s">
        <v>1031</v>
      </c>
      <c r="F17" s="6" t="s">
        <v>1041</v>
      </c>
    </row>
    <row r="18">
      <c r="A18" s="12" t="s">
        <v>1047</v>
      </c>
      <c r="B18" s="67" t="s">
        <v>467</v>
      </c>
      <c r="C18" s="12" t="s">
        <v>1048</v>
      </c>
      <c r="D18" s="89" t="s">
        <v>1049</v>
      </c>
      <c r="E18" s="6" t="s">
        <v>1031</v>
      </c>
      <c r="F18" s="6" t="s">
        <v>1041</v>
      </c>
    </row>
    <row r="19">
      <c r="A19" s="12" t="s">
        <v>1050</v>
      </c>
      <c r="B19" s="67" t="s">
        <v>469</v>
      </c>
      <c r="C19" s="12" t="s">
        <v>1051</v>
      </c>
      <c r="D19" s="89" t="s">
        <v>1052</v>
      </c>
      <c r="E19" s="6" t="s">
        <v>1031</v>
      </c>
      <c r="F19" s="6" t="s">
        <v>1053</v>
      </c>
    </row>
    <row r="20">
      <c r="A20" s="12" t="s">
        <v>1054</v>
      </c>
      <c r="B20" s="67" t="s">
        <v>471</v>
      </c>
      <c r="C20" s="12" t="s">
        <v>1055</v>
      </c>
      <c r="D20" s="89" t="s">
        <v>1056</v>
      </c>
      <c r="E20" s="12" t="s">
        <v>1050</v>
      </c>
      <c r="F20" s="6" t="s">
        <v>1041</v>
      </c>
    </row>
    <row r="21">
      <c r="A21" s="6" t="s">
        <v>1057</v>
      </c>
      <c r="B21" s="11" t="s">
        <v>1058</v>
      </c>
      <c r="C21" s="6" t="s">
        <v>1059</v>
      </c>
      <c r="D21" s="1" t="s">
        <v>901</v>
      </c>
      <c r="E21" s="6" t="s">
        <v>1060</v>
      </c>
    </row>
    <row r="22">
      <c r="D22" s="2"/>
    </row>
    <row r="23">
      <c r="D23" s="2"/>
    </row>
    <row r="24">
      <c r="D24" s="2"/>
    </row>
    <row r="25">
      <c r="D25" s="2"/>
    </row>
    <row r="26">
      <c r="D26" s="2"/>
    </row>
    <row r="27">
      <c r="D27" s="2"/>
    </row>
    <row r="28">
      <c r="D28" s="2"/>
    </row>
    <row r="29">
      <c r="D29" s="2"/>
    </row>
    <row r="30">
      <c r="D30" s="2"/>
    </row>
    <row r="31">
      <c r="D31" s="2"/>
    </row>
    <row r="32">
      <c r="D32" s="2"/>
    </row>
    <row r="33">
      <c r="D33" s="2"/>
    </row>
    <row r="34">
      <c r="D34" s="2"/>
    </row>
    <row r="35">
      <c r="D35" s="2"/>
    </row>
    <row r="36">
      <c r="D36" s="2"/>
    </row>
    <row r="37">
      <c r="D37" s="2"/>
    </row>
    <row r="38">
      <c r="D38" s="2"/>
    </row>
    <row r="39">
      <c r="D39" s="2"/>
    </row>
    <row r="40">
      <c r="D40" s="2"/>
    </row>
    <row r="41">
      <c r="D41" s="2"/>
    </row>
    <row r="42">
      <c r="D42" s="2"/>
    </row>
    <row r="43">
      <c r="D43" s="2"/>
    </row>
    <row r="44">
      <c r="D44" s="2"/>
    </row>
    <row r="45">
      <c r="D45" s="2"/>
    </row>
    <row r="46">
      <c r="D46" s="2"/>
    </row>
    <row r="47">
      <c r="D47" s="2"/>
    </row>
    <row r="48">
      <c r="D48" s="2"/>
    </row>
    <row r="49">
      <c r="D49" s="2"/>
    </row>
    <row r="50">
      <c r="D50" s="2"/>
    </row>
    <row r="51">
      <c r="D51" s="2"/>
    </row>
    <row r="52">
      <c r="D52" s="2"/>
    </row>
    <row r="53">
      <c r="D53" s="2"/>
    </row>
    <row r="54">
      <c r="D54" s="2"/>
    </row>
    <row r="55">
      <c r="D55" s="2"/>
    </row>
    <row r="56">
      <c r="D56" s="2"/>
    </row>
    <row r="57">
      <c r="D57" s="2"/>
    </row>
    <row r="58">
      <c r="D58" s="2"/>
    </row>
    <row r="59">
      <c r="D59" s="2"/>
    </row>
    <row r="60">
      <c r="D60" s="2"/>
    </row>
    <row r="61">
      <c r="D61" s="2"/>
    </row>
    <row r="62">
      <c r="D62" s="2"/>
    </row>
    <row r="63">
      <c r="D63" s="2"/>
    </row>
    <row r="64">
      <c r="D64" s="2"/>
    </row>
    <row r="65">
      <c r="D65" s="2"/>
    </row>
    <row r="66">
      <c r="D66" s="2"/>
    </row>
    <row r="67">
      <c r="D67" s="2"/>
    </row>
    <row r="68">
      <c r="D68" s="2"/>
    </row>
    <row r="69">
      <c r="D69" s="2"/>
    </row>
    <row r="70">
      <c r="D70" s="2"/>
    </row>
    <row r="71">
      <c r="D71" s="2"/>
    </row>
    <row r="72">
      <c r="D72" s="2"/>
    </row>
    <row r="73">
      <c r="D73" s="2"/>
    </row>
    <row r="74">
      <c r="D74" s="2"/>
    </row>
    <row r="75">
      <c r="D75" s="2"/>
    </row>
    <row r="76">
      <c r="D76" s="2"/>
    </row>
    <row r="77">
      <c r="D77" s="2"/>
    </row>
    <row r="78">
      <c r="D78" s="2"/>
    </row>
    <row r="79">
      <c r="D79" s="2"/>
    </row>
    <row r="80">
      <c r="D80" s="2"/>
    </row>
    <row r="81">
      <c r="D81" s="2"/>
    </row>
    <row r="82">
      <c r="D82" s="2"/>
    </row>
    <row r="83">
      <c r="D83" s="2"/>
    </row>
    <row r="84">
      <c r="D84" s="2"/>
    </row>
    <row r="85">
      <c r="D85" s="2"/>
    </row>
    <row r="86">
      <c r="D86" s="2"/>
    </row>
    <row r="87">
      <c r="D87" s="2"/>
    </row>
    <row r="88">
      <c r="D88" s="2"/>
    </row>
    <row r="89">
      <c r="D89" s="2"/>
    </row>
    <row r="90">
      <c r="D90" s="2"/>
    </row>
    <row r="91">
      <c r="D91" s="2"/>
    </row>
    <row r="92">
      <c r="D92" s="2"/>
    </row>
    <row r="93">
      <c r="D93" s="2"/>
    </row>
    <row r="94">
      <c r="D94" s="2"/>
    </row>
    <row r="95">
      <c r="D95" s="2"/>
    </row>
    <row r="96">
      <c r="D96" s="2"/>
    </row>
    <row r="97">
      <c r="D97" s="2"/>
    </row>
    <row r="98">
      <c r="D98" s="2"/>
    </row>
    <row r="99">
      <c r="D99" s="2"/>
    </row>
    <row r="100">
      <c r="D100" s="2"/>
    </row>
    <row r="101">
      <c r="D101" s="2"/>
    </row>
    <row r="102">
      <c r="D102" s="2"/>
    </row>
    <row r="103">
      <c r="D103" s="2"/>
    </row>
    <row r="104">
      <c r="D104" s="2"/>
    </row>
    <row r="105">
      <c r="D105" s="2"/>
    </row>
    <row r="106">
      <c r="D106" s="2"/>
    </row>
    <row r="107">
      <c r="D107" s="2"/>
    </row>
    <row r="108">
      <c r="D108" s="2"/>
    </row>
    <row r="109">
      <c r="D109" s="2"/>
    </row>
    <row r="110">
      <c r="D110" s="2"/>
    </row>
    <row r="111">
      <c r="D111" s="2"/>
    </row>
    <row r="112">
      <c r="D112" s="2"/>
    </row>
    <row r="113">
      <c r="D113" s="2"/>
    </row>
    <row r="114">
      <c r="D114" s="2"/>
    </row>
    <row r="115">
      <c r="D115" s="2"/>
    </row>
    <row r="116">
      <c r="D116" s="2"/>
    </row>
    <row r="117">
      <c r="D117" s="2"/>
    </row>
    <row r="118">
      <c r="D118" s="2"/>
    </row>
    <row r="119">
      <c r="D119" s="2"/>
    </row>
    <row r="120">
      <c r="D120" s="2"/>
    </row>
    <row r="121">
      <c r="D121" s="2"/>
    </row>
    <row r="122">
      <c r="D122" s="2"/>
    </row>
    <row r="123">
      <c r="D123" s="2"/>
    </row>
    <row r="124">
      <c r="D124" s="2"/>
    </row>
    <row r="125">
      <c r="D125" s="2"/>
    </row>
    <row r="126">
      <c r="D126" s="2"/>
    </row>
    <row r="127">
      <c r="D127" s="2"/>
    </row>
    <row r="128">
      <c r="D128" s="2"/>
    </row>
    <row r="129">
      <c r="D129" s="2"/>
    </row>
    <row r="130">
      <c r="D130" s="2"/>
    </row>
    <row r="131">
      <c r="D131" s="2"/>
    </row>
    <row r="132">
      <c r="D132" s="2"/>
    </row>
    <row r="133">
      <c r="D133" s="2"/>
    </row>
    <row r="134">
      <c r="D134" s="2"/>
    </row>
    <row r="135">
      <c r="D135" s="2"/>
    </row>
    <row r="136">
      <c r="D136" s="2"/>
    </row>
    <row r="137">
      <c r="D137" s="2"/>
    </row>
    <row r="138">
      <c r="D138" s="2"/>
    </row>
    <row r="139">
      <c r="D139" s="2"/>
    </row>
    <row r="140">
      <c r="D140" s="2"/>
    </row>
    <row r="141">
      <c r="D141" s="2"/>
    </row>
    <row r="142">
      <c r="D142" s="2"/>
    </row>
    <row r="143">
      <c r="D143" s="2"/>
    </row>
    <row r="144">
      <c r="D144" s="2"/>
    </row>
    <row r="145">
      <c r="D145" s="2"/>
    </row>
    <row r="146">
      <c r="D146" s="2"/>
    </row>
    <row r="147">
      <c r="D147" s="2"/>
    </row>
    <row r="148">
      <c r="D148" s="2"/>
    </row>
    <row r="149">
      <c r="D149" s="2"/>
    </row>
    <row r="150">
      <c r="D150" s="2"/>
    </row>
    <row r="151">
      <c r="D151" s="2"/>
    </row>
    <row r="152">
      <c r="D152" s="2"/>
    </row>
    <row r="153">
      <c r="D153" s="2"/>
    </row>
    <row r="154">
      <c r="D154" s="2"/>
    </row>
    <row r="155">
      <c r="D155" s="2"/>
    </row>
    <row r="156">
      <c r="D156" s="2"/>
    </row>
    <row r="157">
      <c r="D157" s="2"/>
    </row>
    <row r="158">
      <c r="D158" s="2"/>
    </row>
    <row r="159">
      <c r="D159" s="2"/>
    </row>
    <row r="160">
      <c r="D160" s="2"/>
    </row>
    <row r="161">
      <c r="D161" s="2"/>
    </row>
    <row r="162">
      <c r="D162" s="2"/>
    </row>
    <row r="163">
      <c r="D163" s="2"/>
    </row>
    <row r="164">
      <c r="D164" s="2"/>
    </row>
    <row r="165">
      <c r="D165" s="2"/>
    </row>
    <row r="166">
      <c r="D166" s="2"/>
    </row>
    <row r="167">
      <c r="D167" s="2"/>
    </row>
    <row r="168">
      <c r="D168" s="2"/>
    </row>
    <row r="169">
      <c r="D169" s="2"/>
    </row>
    <row r="170">
      <c r="D170" s="2"/>
    </row>
    <row r="171">
      <c r="D171" s="2"/>
    </row>
    <row r="172">
      <c r="D172" s="2"/>
    </row>
    <row r="173">
      <c r="D173" s="2"/>
    </row>
    <row r="174">
      <c r="D174" s="2"/>
    </row>
    <row r="175">
      <c r="D175" s="2"/>
    </row>
    <row r="176">
      <c r="D176" s="2"/>
    </row>
    <row r="177">
      <c r="D177" s="2"/>
    </row>
    <row r="178">
      <c r="D178" s="2"/>
    </row>
    <row r="179">
      <c r="D179" s="2"/>
    </row>
    <row r="180">
      <c r="D180" s="2"/>
    </row>
    <row r="181">
      <c r="D181" s="2"/>
    </row>
    <row r="182">
      <c r="D182" s="2"/>
    </row>
    <row r="183">
      <c r="D183" s="2"/>
    </row>
    <row r="184">
      <c r="D184" s="2"/>
    </row>
    <row r="185">
      <c r="D185" s="2"/>
    </row>
    <row r="186">
      <c r="D186" s="2"/>
    </row>
    <row r="187">
      <c r="D187" s="2"/>
    </row>
    <row r="188">
      <c r="D188" s="2"/>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sheetData>
  <hyperlinks>
    <hyperlink r:id="rId1" ref="C2"/>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1.88"/>
    <col customWidth="1" min="3" max="3" width="36.5"/>
    <col customWidth="1" min="4" max="4" width="14.38"/>
    <col customWidth="1" min="5" max="5" width="69.75"/>
    <col customWidth="1" min="8" max="8" width="16.5"/>
  </cols>
  <sheetData>
    <row r="1">
      <c r="A1" s="22" t="s">
        <v>160</v>
      </c>
      <c r="B1" s="23" t="s">
        <v>26</v>
      </c>
      <c r="C1" s="23" t="s">
        <v>161</v>
      </c>
      <c r="D1" s="23" t="s">
        <v>162</v>
      </c>
      <c r="E1" s="90" t="s">
        <v>22</v>
      </c>
      <c r="F1" s="23" t="s">
        <v>23</v>
      </c>
      <c r="G1" s="23" t="s">
        <v>24</v>
      </c>
      <c r="H1" s="91" t="s">
        <v>163</v>
      </c>
      <c r="I1" s="92"/>
      <c r="J1" s="24"/>
      <c r="K1" s="24"/>
      <c r="L1" s="24"/>
      <c r="M1" s="24"/>
      <c r="N1" s="24"/>
      <c r="O1" s="24"/>
      <c r="P1" s="24"/>
      <c r="Q1" s="24"/>
      <c r="R1" s="24"/>
      <c r="S1" s="24"/>
      <c r="T1" s="24"/>
      <c r="U1" s="24"/>
      <c r="V1" s="24"/>
      <c r="W1" s="24"/>
      <c r="X1" s="24"/>
      <c r="Y1" s="24"/>
      <c r="Z1" s="24"/>
      <c r="AA1" s="24"/>
      <c r="AB1" s="24"/>
      <c r="AC1" s="24"/>
      <c r="AD1" s="24"/>
      <c r="AE1" s="24"/>
    </row>
    <row r="2">
      <c r="A2" s="93" t="s">
        <v>1061</v>
      </c>
      <c r="B2" s="93"/>
      <c r="C2" s="93" t="s">
        <v>492</v>
      </c>
      <c r="D2" s="93" t="s">
        <v>491</v>
      </c>
      <c r="H2" s="93" t="s">
        <v>1062</v>
      </c>
      <c r="I2" s="94"/>
      <c r="J2" s="94"/>
      <c r="K2" s="94"/>
      <c r="L2" s="94"/>
      <c r="M2" s="94"/>
      <c r="N2" s="94"/>
      <c r="O2" s="94"/>
      <c r="P2" s="94"/>
      <c r="Q2" s="94"/>
      <c r="R2" s="94"/>
      <c r="S2" s="94"/>
      <c r="T2" s="94"/>
      <c r="U2" s="94"/>
      <c r="V2" s="94"/>
      <c r="W2" s="94"/>
      <c r="X2" s="94"/>
      <c r="Y2" s="94"/>
      <c r="Z2" s="94"/>
      <c r="AA2" s="94"/>
      <c r="AB2" s="94"/>
      <c r="AC2" s="94"/>
      <c r="AD2" s="94"/>
      <c r="AE2" s="94"/>
    </row>
    <row r="3">
      <c r="A3" s="93" t="s">
        <v>1063</v>
      </c>
      <c r="B3" s="93"/>
      <c r="C3" s="93" t="s">
        <v>644</v>
      </c>
      <c r="D3" s="93" t="s">
        <v>643</v>
      </c>
      <c r="H3" s="93" t="s">
        <v>1064</v>
      </c>
    </row>
    <row r="4">
      <c r="E4" s="95"/>
      <c r="H4" s="95"/>
    </row>
    <row r="5">
      <c r="E5" s="95"/>
      <c r="H5" s="95"/>
    </row>
    <row r="6">
      <c r="A6" s="96" t="s">
        <v>189</v>
      </c>
      <c r="B6" s="23" t="s">
        <v>26</v>
      </c>
      <c r="C6" s="23" t="s">
        <v>161</v>
      </c>
      <c r="D6" s="23" t="s">
        <v>162</v>
      </c>
      <c r="E6" s="90" t="s">
        <v>22</v>
      </c>
      <c r="F6" s="23" t="s">
        <v>23</v>
      </c>
      <c r="G6" s="23" t="s">
        <v>24</v>
      </c>
      <c r="H6" s="91" t="s">
        <v>163</v>
      </c>
      <c r="I6" s="5" t="s">
        <v>190</v>
      </c>
      <c r="J6" s="5" t="s">
        <v>191</v>
      </c>
      <c r="K6" s="5" t="s">
        <v>192</v>
      </c>
      <c r="L6" s="5" t="s">
        <v>193</v>
      </c>
      <c r="M6" s="5" t="s">
        <v>194</v>
      </c>
      <c r="N6" s="5" t="s">
        <v>195</v>
      </c>
      <c r="O6" s="5" t="s">
        <v>196</v>
      </c>
      <c r="P6" s="96" t="s">
        <v>197</v>
      </c>
      <c r="Q6" s="5"/>
      <c r="R6" s="5"/>
      <c r="S6" s="5"/>
      <c r="T6" s="5"/>
      <c r="U6" s="5"/>
      <c r="V6" s="5"/>
      <c r="W6" s="5"/>
      <c r="X6" s="5"/>
      <c r="Y6" s="5"/>
      <c r="Z6" s="5"/>
      <c r="AA6" s="5"/>
      <c r="AB6" s="5"/>
      <c r="AC6" s="5"/>
      <c r="AD6" s="5"/>
      <c r="AE6" s="5"/>
    </row>
    <row r="7">
      <c r="A7" s="93" t="s">
        <v>1065</v>
      </c>
      <c r="B7" s="97" t="s">
        <v>1066</v>
      </c>
      <c r="D7" s="93" t="s">
        <v>1067</v>
      </c>
      <c r="E7" s="93" t="s">
        <v>1068</v>
      </c>
      <c r="H7" s="93" t="s">
        <v>1069</v>
      </c>
      <c r="I7" s="93" t="s">
        <v>1070</v>
      </c>
      <c r="L7" s="93" t="s">
        <v>1071</v>
      </c>
    </row>
    <row r="8">
      <c r="A8" s="93" t="s">
        <v>1072</v>
      </c>
      <c r="B8" s="97" t="s">
        <v>1066</v>
      </c>
      <c r="D8" s="93" t="s">
        <v>1073</v>
      </c>
      <c r="E8" s="93" t="s">
        <v>493</v>
      </c>
      <c r="G8" s="93" t="s">
        <v>1074</v>
      </c>
      <c r="H8" s="93" t="s">
        <v>1061</v>
      </c>
      <c r="J8" s="93" t="s">
        <v>1075</v>
      </c>
      <c r="L8" s="93" t="s">
        <v>1076</v>
      </c>
    </row>
    <row r="9">
      <c r="A9" s="93" t="s">
        <v>1077</v>
      </c>
      <c r="B9" s="97" t="s">
        <v>1066</v>
      </c>
      <c r="D9" s="93" t="s">
        <v>1078</v>
      </c>
      <c r="E9" s="93" t="s">
        <v>1079</v>
      </c>
      <c r="G9" s="93" t="s">
        <v>1080</v>
      </c>
      <c r="H9" s="93" t="s">
        <v>1061</v>
      </c>
      <c r="J9" s="93" t="s">
        <v>1081</v>
      </c>
      <c r="L9" s="93" t="s">
        <v>1082</v>
      </c>
    </row>
    <row r="10">
      <c r="A10" s="93" t="s">
        <v>1083</v>
      </c>
      <c r="B10" s="97" t="s">
        <v>1066</v>
      </c>
      <c r="D10" s="93" t="s">
        <v>1084</v>
      </c>
      <c r="E10" s="93" t="s">
        <v>1085</v>
      </c>
      <c r="G10" s="93"/>
      <c r="H10" s="93" t="s">
        <v>1061</v>
      </c>
      <c r="I10" s="93" t="s">
        <v>1077</v>
      </c>
      <c r="L10" s="93" t="s">
        <v>1081</v>
      </c>
    </row>
    <row r="11">
      <c r="A11" s="93" t="s">
        <v>1086</v>
      </c>
      <c r="B11" s="97" t="s">
        <v>1066</v>
      </c>
      <c r="D11" s="93" t="s">
        <v>1087</v>
      </c>
      <c r="E11" s="93" t="s">
        <v>1088</v>
      </c>
      <c r="G11" s="93"/>
      <c r="H11" s="93" t="s">
        <v>1061</v>
      </c>
      <c r="I11" s="93" t="s">
        <v>1077</v>
      </c>
      <c r="L11" s="93" t="s">
        <v>1081</v>
      </c>
    </row>
    <row r="12">
      <c r="A12" s="93" t="s">
        <v>1089</v>
      </c>
      <c r="B12" s="97" t="s">
        <v>1066</v>
      </c>
      <c r="D12" s="93" t="s">
        <v>1090</v>
      </c>
      <c r="E12" s="93" t="s">
        <v>1091</v>
      </c>
      <c r="G12" s="93"/>
      <c r="H12" s="93" t="s">
        <v>1061</v>
      </c>
      <c r="I12" s="93" t="s">
        <v>1092</v>
      </c>
      <c r="L12" s="93" t="s">
        <v>1081</v>
      </c>
    </row>
    <row r="13">
      <c r="A13" s="93" t="s">
        <v>1093</v>
      </c>
      <c r="B13" s="97" t="s">
        <v>1066</v>
      </c>
      <c r="D13" s="93" t="s">
        <v>1094</v>
      </c>
      <c r="E13" s="93" t="s">
        <v>1095</v>
      </c>
      <c r="G13" s="93"/>
      <c r="H13" s="93" t="s">
        <v>1061</v>
      </c>
      <c r="I13" s="93" t="s">
        <v>1077</v>
      </c>
      <c r="L13" s="93" t="s">
        <v>1081</v>
      </c>
    </row>
    <row r="14">
      <c r="A14" s="93" t="s">
        <v>1096</v>
      </c>
      <c r="B14" s="97" t="s">
        <v>1066</v>
      </c>
      <c r="D14" s="93" t="s">
        <v>1097</v>
      </c>
      <c r="E14" s="93" t="s">
        <v>1098</v>
      </c>
      <c r="G14" s="93"/>
      <c r="H14" s="93" t="s">
        <v>1061</v>
      </c>
      <c r="I14" s="93" t="s">
        <v>1077</v>
      </c>
      <c r="L14" s="93" t="s">
        <v>1081</v>
      </c>
    </row>
    <row r="15">
      <c r="A15" s="93" t="s">
        <v>1099</v>
      </c>
      <c r="B15" s="97" t="s">
        <v>1066</v>
      </c>
      <c r="D15" s="93" t="s">
        <v>1100</v>
      </c>
      <c r="E15" s="93" t="s">
        <v>1101</v>
      </c>
      <c r="G15" s="93"/>
      <c r="H15" s="93" t="s">
        <v>1061</v>
      </c>
      <c r="I15" s="93" t="s">
        <v>1102</v>
      </c>
      <c r="L15" s="93" t="s">
        <v>1081</v>
      </c>
    </row>
    <row r="16">
      <c r="A16" s="93" t="s">
        <v>1103</v>
      </c>
      <c r="B16" s="97" t="s">
        <v>1066</v>
      </c>
      <c r="D16" s="93" t="s">
        <v>1104</v>
      </c>
      <c r="E16" s="93" t="s">
        <v>1105</v>
      </c>
      <c r="G16" s="93"/>
      <c r="H16" s="93" t="s">
        <v>1061</v>
      </c>
      <c r="I16" s="93" t="s">
        <v>1106</v>
      </c>
      <c r="L16" s="93" t="s">
        <v>1081</v>
      </c>
    </row>
    <row r="17">
      <c r="A17" s="93" t="s">
        <v>1107</v>
      </c>
      <c r="B17" s="97" t="s">
        <v>1066</v>
      </c>
      <c r="D17" s="93" t="s">
        <v>1108</v>
      </c>
      <c r="E17" s="93" t="s">
        <v>1109</v>
      </c>
      <c r="G17" s="93" t="s">
        <v>1110</v>
      </c>
      <c r="H17" s="93" t="s">
        <v>1061</v>
      </c>
      <c r="J17" s="93" t="s">
        <v>1111</v>
      </c>
      <c r="L17" s="93" t="s">
        <v>1082</v>
      </c>
    </row>
    <row r="18">
      <c r="A18" s="93" t="s">
        <v>1112</v>
      </c>
      <c r="B18" s="97" t="s">
        <v>1066</v>
      </c>
      <c r="D18" s="93" t="s">
        <v>1108</v>
      </c>
      <c r="E18" s="93" t="s">
        <v>1113</v>
      </c>
      <c r="G18" s="93" t="s">
        <v>1110</v>
      </c>
      <c r="H18" s="93" t="s">
        <v>1061</v>
      </c>
      <c r="I18" s="93" t="s">
        <v>1114</v>
      </c>
      <c r="J18" s="93" t="s">
        <v>1111</v>
      </c>
      <c r="L18" s="93" t="s">
        <v>1082</v>
      </c>
    </row>
    <row r="19">
      <c r="A19" s="93" t="s">
        <v>1115</v>
      </c>
      <c r="B19" s="97" t="s">
        <v>1066</v>
      </c>
      <c r="D19" s="93" t="s">
        <v>1108</v>
      </c>
      <c r="E19" s="93" t="s">
        <v>1116</v>
      </c>
      <c r="G19" s="93" t="s">
        <v>1080</v>
      </c>
      <c r="H19" s="93" t="s">
        <v>1061</v>
      </c>
      <c r="I19" s="93" t="s">
        <v>1114</v>
      </c>
      <c r="J19" s="93" t="s">
        <v>1076</v>
      </c>
      <c r="L19" s="93" t="s">
        <v>1076</v>
      </c>
    </row>
    <row r="20">
      <c r="A20" s="93" t="s">
        <v>1117</v>
      </c>
      <c r="B20" s="97" t="s">
        <v>1066</v>
      </c>
      <c r="D20" s="93" t="s">
        <v>1118</v>
      </c>
      <c r="E20" s="93" t="s">
        <v>518</v>
      </c>
      <c r="G20" s="93" t="s">
        <v>1080</v>
      </c>
      <c r="H20" s="93" t="s">
        <v>1061</v>
      </c>
      <c r="I20" s="93" t="s">
        <v>1119</v>
      </c>
      <c r="J20" s="93" t="s">
        <v>1076</v>
      </c>
      <c r="L20" s="93" t="s">
        <v>1082</v>
      </c>
    </row>
    <row r="21">
      <c r="A21" s="93" t="s">
        <v>1120</v>
      </c>
      <c r="B21" s="97" t="s">
        <v>1066</v>
      </c>
      <c r="D21" s="93" t="s">
        <v>1121</v>
      </c>
      <c r="E21" s="93" t="s">
        <v>1122</v>
      </c>
      <c r="F21" s="93" t="s">
        <v>1123</v>
      </c>
      <c r="G21" s="93"/>
      <c r="H21" s="93" t="s">
        <v>1061</v>
      </c>
      <c r="K21" s="93" t="s">
        <v>1124</v>
      </c>
      <c r="L21" s="93" t="s">
        <v>1125</v>
      </c>
    </row>
    <row r="22">
      <c r="A22" s="93" t="s">
        <v>1126</v>
      </c>
      <c r="B22" s="97" t="s">
        <v>1066</v>
      </c>
      <c r="D22" s="93" t="s">
        <v>1127</v>
      </c>
      <c r="E22" s="93" t="s">
        <v>522</v>
      </c>
      <c r="G22" s="93" t="s">
        <v>1110</v>
      </c>
      <c r="H22" s="93" t="s">
        <v>1061</v>
      </c>
      <c r="J22" s="93" t="s">
        <v>1081</v>
      </c>
      <c r="K22" s="93" t="s">
        <v>1128</v>
      </c>
      <c r="L22" s="93" t="s">
        <v>1076</v>
      </c>
    </row>
    <row r="23">
      <c r="A23" s="93" t="s">
        <v>1129</v>
      </c>
      <c r="B23" s="97" t="s">
        <v>1066</v>
      </c>
      <c r="D23" s="93" t="s">
        <v>1130</v>
      </c>
      <c r="E23" s="93" t="s">
        <v>1131</v>
      </c>
      <c r="G23" s="93" t="s">
        <v>1080</v>
      </c>
      <c r="H23" s="93" t="s">
        <v>1132</v>
      </c>
      <c r="J23" s="93" t="s">
        <v>1133</v>
      </c>
      <c r="K23" s="93" t="s">
        <v>1134</v>
      </c>
      <c r="L23" s="93" t="s">
        <v>1076</v>
      </c>
    </row>
    <row r="24">
      <c r="A24" s="93" t="s">
        <v>1135</v>
      </c>
      <c r="B24" s="97" t="s">
        <v>1066</v>
      </c>
      <c r="D24" s="93" t="s">
        <v>1136</v>
      </c>
      <c r="E24" s="93" t="s">
        <v>1137</v>
      </c>
      <c r="G24" s="93" t="s">
        <v>1080</v>
      </c>
      <c r="H24" s="93" t="s">
        <v>1132</v>
      </c>
      <c r="J24" s="93" t="s">
        <v>1133</v>
      </c>
      <c r="K24" s="93" t="s">
        <v>1134</v>
      </c>
      <c r="L24" s="93" t="s">
        <v>1076</v>
      </c>
    </row>
    <row r="25">
      <c r="A25" s="93" t="s">
        <v>1138</v>
      </c>
      <c r="B25" s="97" t="s">
        <v>1066</v>
      </c>
      <c r="D25" s="93" t="s">
        <v>1139</v>
      </c>
      <c r="E25" s="93" t="s">
        <v>1140</v>
      </c>
      <c r="G25" s="93"/>
      <c r="H25" s="93" t="s">
        <v>1141</v>
      </c>
      <c r="I25" s="93" t="s">
        <v>1142</v>
      </c>
      <c r="J25" s="93"/>
      <c r="L25" s="93" t="s">
        <v>1076</v>
      </c>
      <c r="Q25" s="54"/>
      <c r="R25" s="54"/>
      <c r="S25" s="54"/>
      <c r="T25" s="54"/>
      <c r="U25" s="54"/>
      <c r="V25" s="54"/>
      <c r="W25" s="54"/>
      <c r="X25" s="54"/>
      <c r="Y25" s="54"/>
      <c r="Z25" s="54"/>
      <c r="AA25" s="54"/>
      <c r="AB25" s="54"/>
      <c r="AC25" s="54"/>
      <c r="AD25" s="54"/>
      <c r="AE25" s="54"/>
    </row>
    <row r="26">
      <c r="A26" s="93" t="s">
        <v>1143</v>
      </c>
      <c r="B26" s="97" t="s">
        <v>1066</v>
      </c>
      <c r="D26" s="93" t="s">
        <v>1144</v>
      </c>
      <c r="E26" s="93" t="s">
        <v>1145</v>
      </c>
      <c r="F26" s="93" t="s">
        <v>1146</v>
      </c>
      <c r="H26" s="93" t="s">
        <v>1147</v>
      </c>
      <c r="L26" s="93" t="s">
        <v>1148</v>
      </c>
      <c r="Q26" s="54"/>
      <c r="R26" s="54"/>
      <c r="S26" s="54"/>
      <c r="T26" s="54"/>
      <c r="U26" s="54"/>
      <c r="V26" s="54"/>
      <c r="W26" s="54"/>
      <c r="X26" s="54"/>
      <c r="Y26" s="54"/>
      <c r="Z26" s="54"/>
      <c r="AA26" s="54"/>
      <c r="AB26" s="54"/>
      <c r="AC26" s="54"/>
      <c r="AD26" s="54"/>
      <c r="AE26" s="54"/>
    </row>
    <row r="27">
      <c r="A27" s="93" t="s">
        <v>1149</v>
      </c>
      <c r="B27" s="97" t="s">
        <v>1066</v>
      </c>
      <c r="D27" s="93" t="s">
        <v>1150</v>
      </c>
      <c r="E27" s="93" t="s">
        <v>1151</v>
      </c>
      <c r="F27" s="93" t="s">
        <v>1152</v>
      </c>
      <c r="G27" s="93"/>
      <c r="H27" s="93" t="s">
        <v>1153</v>
      </c>
      <c r="I27" s="93" t="s">
        <v>1154</v>
      </c>
      <c r="J27" s="93" t="s">
        <v>1155</v>
      </c>
      <c r="L27" s="93" t="s">
        <v>1156</v>
      </c>
      <c r="Q27" s="21"/>
      <c r="R27" s="21"/>
      <c r="S27" s="21"/>
      <c r="T27" s="21"/>
      <c r="U27" s="21"/>
      <c r="V27" s="21"/>
      <c r="W27" s="21"/>
      <c r="X27" s="21"/>
      <c r="Y27" s="21"/>
      <c r="Z27" s="21"/>
      <c r="AA27" s="21"/>
      <c r="AB27" s="21"/>
      <c r="AC27" s="21"/>
      <c r="AD27" s="21"/>
      <c r="AE27" s="21"/>
    </row>
    <row r="28">
      <c r="A28" s="93" t="s">
        <v>1157</v>
      </c>
      <c r="B28" s="97" t="s">
        <v>1066</v>
      </c>
      <c r="D28" s="93" t="s">
        <v>1158</v>
      </c>
      <c r="E28" s="93" t="s">
        <v>1159</v>
      </c>
      <c r="F28" s="93" t="s">
        <v>1152</v>
      </c>
      <c r="G28" s="93"/>
      <c r="H28" s="93" t="s">
        <v>1153</v>
      </c>
      <c r="I28" s="93" t="s">
        <v>1154</v>
      </c>
      <c r="L28" s="93" t="s">
        <v>1156</v>
      </c>
      <c r="Q28" s="21"/>
      <c r="R28" s="21"/>
      <c r="S28" s="21"/>
      <c r="T28" s="21"/>
      <c r="U28" s="21"/>
      <c r="V28" s="21"/>
      <c r="W28" s="21"/>
      <c r="X28" s="21"/>
      <c r="Y28" s="21"/>
      <c r="Z28" s="21"/>
      <c r="AA28" s="21"/>
      <c r="AB28" s="21"/>
      <c r="AC28" s="21"/>
      <c r="AD28" s="21"/>
      <c r="AE28" s="21"/>
    </row>
    <row r="29">
      <c r="A29" s="93" t="s">
        <v>1160</v>
      </c>
      <c r="B29" s="97" t="s">
        <v>1066</v>
      </c>
      <c r="D29" s="93" t="s">
        <v>1161</v>
      </c>
      <c r="E29" s="93" t="s">
        <v>1162</v>
      </c>
      <c r="H29" s="93" t="s">
        <v>1163</v>
      </c>
      <c r="I29" s="93" t="s">
        <v>1164</v>
      </c>
      <c r="J29" s="93" t="s">
        <v>1076</v>
      </c>
      <c r="K29" s="93"/>
      <c r="L29" s="93" t="s">
        <v>1165</v>
      </c>
    </row>
    <row r="30">
      <c r="A30" s="93" t="s">
        <v>1166</v>
      </c>
      <c r="B30" s="97" t="s">
        <v>1066</v>
      </c>
      <c r="D30" s="93" t="s">
        <v>1167</v>
      </c>
      <c r="E30" s="93" t="s">
        <v>559</v>
      </c>
      <c r="H30" s="93" t="s">
        <v>1168</v>
      </c>
      <c r="J30" s="93" t="s">
        <v>1169</v>
      </c>
      <c r="K30" s="93" t="s">
        <v>1170</v>
      </c>
      <c r="L30" s="93" t="s">
        <v>1171</v>
      </c>
      <c r="Q30" s="54"/>
      <c r="R30" s="54"/>
      <c r="S30" s="54"/>
      <c r="T30" s="54"/>
      <c r="U30" s="54"/>
      <c r="V30" s="54"/>
      <c r="W30" s="54"/>
      <c r="X30" s="54"/>
      <c r="Y30" s="54"/>
      <c r="Z30" s="54"/>
      <c r="AA30" s="54"/>
      <c r="AB30" s="54"/>
      <c r="AC30" s="54"/>
      <c r="AD30" s="54"/>
      <c r="AE30" s="54"/>
    </row>
    <row r="31">
      <c r="A31" s="93" t="s">
        <v>1172</v>
      </c>
      <c r="B31" s="97" t="s">
        <v>1066</v>
      </c>
      <c r="D31" s="93" t="s">
        <v>1173</v>
      </c>
      <c r="E31" s="93" t="s">
        <v>634</v>
      </c>
      <c r="H31" s="93" t="s">
        <v>1174</v>
      </c>
      <c r="I31" s="93" t="s">
        <v>1175</v>
      </c>
      <c r="J31" s="93" t="s">
        <v>1169</v>
      </c>
      <c r="K31" s="93" t="s">
        <v>1164</v>
      </c>
      <c r="L31" s="93" t="s">
        <v>1176</v>
      </c>
    </row>
    <row r="32">
      <c r="A32" s="93" t="s">
        <v>1177</v>
      </c>
      <c r="B32" s="97" t="s">
        <v>1066</v>
      </c>
      <c r="D32" s="93" t="s">
        <v>1178</v>
      </c>
      <c r="E32" s="93" t="s">
        <v>1179</v>
      </c>
      <c r="H32" s="93" t="s">
        <v>1063</v>
      </c>
      <c r="J32" s="93" t="s">
        <v>1180</v>
      </c>
      <c r="K32" s="93"/>
      <c r="L32" s="93" t="s">
        <v>1181</v>
      </c>
    </row>
    <row r="33">
      <c r="A33" s="93" t="s">
        <v>1182</v>
      </c>
      <c r="B33" s="97" t="s">
        <v>1066</v>
      </c>
      <c r="D33" s="93" t="s">
        <v>1178</v>
      </c>
      <c r="E33" s="93" t="s">
        <v>1183</v>
      </c>
      <c r="H33" s="93" t="s">
        <v>1063</v>
      </c>
      <c r="J33" s="93"/>
      <c r="K33" s="93"/>
      <c r="L33" s="93" t="s">
        <v>1184</v>
      </c>
    </row>
    <row r="34">
      <c r="E34" s="95"/>
      <c r="H34" s="95"/>
    </row>
    <row r="35">
      <c r="E35" s="95"/>
      <c r="H35" s="95"/>
    </row>
    <row r="36">
      <c r="E36" s="95"/>
      <c r="H36" s="95"/>
    </row>
    <row r="37">
      <c r="E37" s="95"/>
      <c r="H37" s="95"/>
    </row>
    <row r="38">
      <c r="E38" s="95"/>
      <c r="H38" s="95"/>
    </row>
    <row r="39">
      <c r="E39" s="95"/>
      <c r="H39" s="95"/>
    </row>
    <row r="40">
      <c r="E40" s="95"/>
      <c r="H40" s="95"/>
    </row>
    <row r="41">
      <c r="E41" s="95"/>
      <c r="H41" s="95"/>
    </row>
    <row r="42">
      <c r="E42" s="95"/>
      <c r="H42" s="95"/>
    </row>
    <row r="43">
      <c r="E43" s="95"/>
      <c r="H43" s="95"/>
    </row>
    <row r="44">
      <c r="E44" s="95"/>
      <c r="H44" s="95"/>
    </row>
    <row r="45">
      <c r="E45" s="95"/>
      <c r="H45" s="95"/>
    </row>
    <row r="46">
      <c r="E46" s="95"/>
      <c r="H46" s="95"/>
    </row>
    <row r="47">
      <c r="E47" s="95"/>
      <c r="H47" s="95"/>
    </row>
    <row r="48">
      <c r="E48" s="95"/>
      <c r="H48" s="95"/>
    </row>
    <row r="49">
      <c r="E49" s="95"/>
      <c r="H49" s="95"/>
    </row>
    <row r="50">
      <c r="E50" s="95"/>
      <c r="H50" s="95"/>
    </row>
    <row r="51">
      <c r="E51" s="95"/>
      <c r="H51" s="95"/>
    </row>
    <row r="52">
      <c r="E52" s="95"/>
      <c r="H52" s="95"/>
    </row>
    <row r="53">
      <c r="E53" s="95"/>
      <c r="H53" s="95"/>
    </row>
    <row r="54">
      <c r="E54" s="95"/>
      <c r="H54" s="95"/>
    </row>
    <row r="55">
      <c r="E55" s="95"/>
      <c r="H55" s="95"/>
    </row>
    <row r="56">
      <c r="E56" s="95"/>
      <c r="H56" s="95"/>
    </row>
    <row r="57">
      <c r="E57" s="95"/>
      <c r="H57" s="95"/>
    </row>
    <row r="58">
      <c r="E58" s="95"/>
      <c r="H58" s="95"/>
    </row>
    <row r="59">
      <c r="E59" s="95"/>
      <c r="H59" s="95"/>
    </row>
    <row r="60">
      <c r="E60" s="95"/>
      <c r="H60" s="95"/>
    </row>
    <row r="61">
      <c r="E61" s="95"/>
      <c r="H61" s="95"/>
    </row>
    <row r="62">
      <c r="E62" s="95"/>
      <c r="H62" s="95"/>
    </row>
    <row r="63">
      <c r="E63" s="95"/>
      <c r="H63" s="95"/>
    </row>
    <row r="64">
      <c r="E64" s="95"/>
      <c r="H64" s="95"/>
    </row>
    <row r="65">
      <c r="E65" s="95"/>
      <c r="H65" s="95"/>
    </row>
    <row r="66">
      <c r="E66" s="95"/>
      <c r="H66" s="95"/>
    </row>
    <row r="67">
      <c r="E67" s="95"/>
      <c r="H67" s="95"/>
    </row>
    <row r="68">
      <c r="E68" s="95"/>
      <c r="H68" s="95"/>
    </row>
    <row r="69">
      <c r="E69" s="95"/>
      <c r="H69" s="95"/>
    </row>
    <row r="70">
      <c r="E70" s="95"/>
      <c r="H70" s="95"/>
    </row>
    <row r="71">
      <c r="E71" s="95"/>
      <c r="H71" s="95"/>
    </row>
    <row r="72">
      <c r="E72" s="95"/>
      <c r="H72" s="95"/>
    </row>
    <row r="73">
      <c r="E73" s="95"/>
      <c r="H73" s="95"/>
    </row>
    <row r="74">
      <c r="E74" s="95"/>
      <c r="H74" s="95"/>
    </row>
    <row r="75">
      <c r="E75" s="95"/>
      <c r="H75" s="95"/>
    </row>
    <row r="76">
      <c r="E76" s="95"/>
      <c r="H76" s="95"/>
    </row>
    <row r="77">
      <c r="E77" s="95"/>
      <c r="H77" s="95"/>
    </row>
    <row r="78">
      <c r="E78" s="95"/>
      <c r="H78" s="95"/>
    </row>
    <row r="79">
      <c r="E79" s="95"/>
      <c r="H79" s="95"/>
    </row>
    <row r="80">
      <c r="E80" s="95"/>
      <c r="H80" s="95"/>
    </row>
    <row r="81">
      <c r="E81" s="95"/>
      <c r="H81" s="95"/>
    </row>
    <row r="82">
      <c r="E82" s="95"/>
      <c r="H82" s="95"/>
    </row>
    <row r="83">
      <c r="E83" s="95"/>
      <c r="H83" s="95"/>
    </row>
    <row r="84">
      <c r="E84" s="95"/>
      <c r="H84" s="95"/>
    </row>
    <row r="85">
      <c r="E85" s="95"/>
      <c r="H85" s="95"/>
    </row>
    <row r="86">
      <c r="E86" s="95"/>
      <c r="H86" s="95"/>
    </row>
    <row r="87">
      <c r="E87" s="95"/>
      <c r="H87" s="95"/>
    </row>
    <row r="88">
      <c r="E88" s="95"/>
      <c r="H88" s="95"/>
    </row>
    <row r="89">
      <c r="E89" s="95"/>
      <c r="H89" s="95"/>
    </row>
    <row r="90">
      <c r="E90" s="95"/>
      <c r="H90" s="95"/>
    </row>
    <row r="91">
      <c r="E91" s="95"/>
      <c r="H91" s="95"/>
    </row>
    <row r="92">
      <c r="E92" s="95"/>
      <c r="H92" s="95"/>
    </row>
    <row r="93">
      <c r="E93" s="95"/>
      <c r="H93" s="95"/>
    </row>
    <row r="94">
      <c r="E94" s="95"/>
      <c r="H94" s="95"/>
    </row>
    <row r="95">
      <c r="E95" s="95"/>
      <c r="H95" s="95"/>
    </row>
    <row r="96">
      <c r="E96" s="95"/>
      <c r="H96" s="95"/>
    </row>
    <row r="97">
      <c r="E97" s="95"/>
      <c r="H97" s="95"/>
    </row>
    <row r="98">
      <c r="E98" s="95"/>
      <c r="H98" s="95"/>
    </row>
    <row r="99">
      <c r="E99" s="95"/>
      <c r="H99" s="95"/>
    </row>
    <row r="100">
      <c r="E100" s="95"/>
      <c r="H100" s="95"/>
    </row>
    <row r="101">
      <c r="E101" s="95"/>
      <c r="H101" s="95"/>
    </row>
    <row r="102">
      <c r="E102" s="95"/>
      <c r="H102" s="95"/>
    </row>
    <row r="103">
      <c r="E103" s="95"/>
      <c r="H103" s="95"/>
    </row>
    <row r="104">
      <c r="E104" s="95"/>
      <c r="H104" s="95"/>
    </row>
    <row r="105">
      <c r="E105" s="95"/>
      <c r="H105" s="95"/>
    </row>
    <row r="106">
      <c r="E106" s="95"/>
      <c r="H106" s="95"/>
    </row>
    <row r="107">
      <c r="E107" s="95"/>
      <c r="H107" s="95"/>
    </row>
    <row r="108">
      <c r="E108" s="95"/>
      <c r="H108" s="95"/>
    </row>
    <row r="109">
      <c r="E109" s="95"/>
      <c r="H109" s="95"/>
    </row>
    <row r="110">
      <c r="E110" s="95"/>
      <c r="H110" s="95"/>
    </row>
    <row r="111">
      <c r="E111" s="95"/>
      <c r="H111" s="95"/>
    </row>
    <row r="112">
      <c r="E112" s="95"/>
      <c r="H112" s="95"/>
    </row>
    <row r="113">
      <c r="E113" s="95"/>
      <c r="H113" s="95"/>
    </row>
    <row r="114">
      <c r="E114" s="95"/>
      <c r="H114" s="95"/>
    </row>
    <row r="115">
      <c r="E115" s="95"/>
      <c r="H115" s="95"/>
    </row>
    <row r="116">
      <c r="E116" s="95"/>
      <c r="H116" s="95"/>
    </row>
    <row r="117">
      <c r="E117" s="95"/>
      <c r="H117" s="95"/>
    </row>
    <row r="118">
      <c r="E118" s="95"/>
      <c r="H118" s="95"/>
    </row>
    <row r="119">
      <c r="E119" s="95"/>
      <c r="H119" s="95"/>
    </row>
    <row r="120">
      <c r="E120" s="95"/>
      <c r="H120" s="95"/>
    </row>
    <row r="121">
      <c r="E121" s="95"/>
      <c r="H121" s="95"/>
    </row>
    <row r="122">
      <c r="E122" s="95"/>
      <c r="H122" s="95"/>
    </row>
    <row r="123">
      <c r="E123" s="95"/>
      <c r="H123" s="95"/>
    </row>
    <row r="124">
      <c r="E124" s="95"/>
      <c r="H124" s="95"/>
    </row>
    <row r="125">
      <c r="E125" s="95"/>
      <c r="H125" s="95"/>
    </row>
    <row r="126">
      <c r="E126" s="95"/>
      <c r="H126" s="95"/>
    </row>
    <row r="127">
      <c r="E127" s="95"/>
      <c r="H127" s="95"/>
    </row>
    <row r="128">
      <c r="E128" s="95"/>
      <c r="H128" s="95"/>
    </row>
    <row r="129">
      <c r="E129" s="95"/>
      <c r="H129" s="95"/>
    </row>
    <row r="130">
      <c r="E130" s="95"/>
      <c r="H130" s="95"/>
    </row>
    <row r="131">
      <c r="E131" s="95"/>
      <c r="H131" s="95"/>
    </row>
    <row r="132">
      <c r="E132" s="95"/>
      <c r="H132" s="95"/>
    </row>
    <row r="133">
      <c r="E133" s="95"/>
      <c r="H133" s="95"/>
    </row>
    <row r="134">
      <c r="E134" s="95"/>
      <c r="H134" s="95"/>
    </row>
    <row r="135">
      <c r="E135" s="95"/>
      <c r="H135" s="95"/>
    </row>
    <row r="136">
      <c r="E136" s="95"/>
      <c r="H136" s="95"/>
    </row>
    <row r="137">
      <c r="E137" s="95"/>
      <c r="H137" s="95"/>
    </row>
    <row r="138">
      <c r="E138" s="95"/>
      <c r="H138" s="95"/>
    </row>
    <row r="139">
      <c r="E139" s="95"/>
      <c r="H139" s="95"/>
    </row>
    <row r="140">
      <c r="E140" s="95"/>
      <c r="H140" s="95"/>
    </row>
    <row r="141">
      <c r="E141" s="95"/>
      <c r="H141" s="95"/>
    </row>
    <row r="142">
      <c r="E142" s="95"/>
      <c r="H142" s="95"/>
    </row>
    <row r="143">
      <c r="E143" s="95"/>
      <c r="H143" s="95"/>
    </row>
    <row r="144">
      <c r="E144" s="95"/>
      <c r="H144" s="95"/>
    </row>
    <row r="145">
      <c r="E145" s="95"/>
      <c r="H145" s="95"/>
    </row>
    <row r="146">
      <c r="E146" s="95"/>
      <c r="H146" s="95"/>
    </row>
    <row r="147">
      <c r="E147" s="95"/>
      <c r="H147" s="95"/>
    </row>
    <row r="148">
      <c r="E148" s="95"/>
      <c r="H148" s="95"/>
    </row>
    <row r="149">
      <c r="E149" s="95"/>
      <c r="H149" s="95"/>
    </row>
    <row r="150">
      <c r="E150" s="95"/>
      <c r="H150" s="95"/>
    </row>
    <row r="151">
      <c r="E151" s="95"/>
      <c r="H151" s="95"/>
    </row>
    <row r="152">
      <c r="E152" s="95"/>
      <c r="H152" s="95"/>
    </row>
    <row r="153">
      <c r="E153" s="95"/>
      <c r="H153" s="95"/>
    </row>
    <row r="154">
      <c r="E154" s="95"/>
      <c r="H154" s="95"/>
    </row>
    <row r="155">
      <c r="E155" s="95"/>
      <c r="H155" s="95"/>
    </row>
    <row r="156">
      <c r="E156" s="95"/>
      <c r="H156" s="95"/>
    </row>
    <row r="157">
      <c r="E157" s="95"/>
      <c r="H157" s="95"/>
    </row>
    <row r="158">
      <c r="E158" s="95"/>
      <c r="H158" s="95"/>
    </row>
    <row r="159">
      <c r="E159" s="95"/>
      <c r="H159" s="95"/>
    </row>
    <row r="160">
      <c r="E160" s="95"/>
      <c r="H160" s="95"/>
    </row>
    <row r="161">
      <c r="E161" s="95"/>
      <c r="H161" s="95"/>
    </row>
    <row r="162">
      <c r="E162" s="95"/>
      <c r="H162" s="95"/>
    </row>
    <row r="163">
      <c r="E163" s="95"/>
      <c r="H163" s="95"/>
    </row>
    <row r="164">
      <c r="E164" s="95"/>
      <c r="H164" s="95"/>
    </row>
    <row r="165">
      <c r="E165" s="95"/>
      <c r="H165" s="95"/>
    </row>
    <row r="166">
      <c r="E166" s="95"/>
      <c r="H166" s="95"/>
    </row>
    <row r="167">
      <c r="E167" s="95"/>
      <c r="H167" s="95"/>
    </row>
    <row r="168">
      <c r="E168" s="95"/>
      <c r="H168" s="95"/>
    </row>
    <row r="169">
      <c r="E169" s="95"/>
      <c r="H169" s="95"/>
    </row>
    <row r="170">
      <c r="E170" s="95"/>
      <c r="H170" s="95"/>
    </row>
    <row r="171">
      <c r="E171" s="95"/>
      <c r="H171" s="95"/>
    </row>
    <row r="172">
      <c r="E172" s="95"/>
      <c r="H172" s="95"/>
    </row>
    <row r="173">
      <c r="E173" s="95"/>
      <c r="H173" s="95"/>
    </row>
    <row r="174">
      <c r="E174" s="95"/>
      <c r="H174" s="95"/>
    </row>
    <row r="175">
      <c r="E175" s="95"/>
      <c r="H175" s="95"/>
    </row>
    <row r="176">
      <c r="E176" s="95"/>
      <c r="H176" s="95"/>
    </row>
    <row r="177">
      <c r="E177" s="95"/>
      <c r="H177" s="95"/>
    </row>
    <row r="178">
      <c r="E178" s="95"/>
      <c r="H178" s="95"/>
    </row>
    <row r="179">
      <c r="E179" s="95"/>
      <c r="H179" s="95"/>
    </row>
    <row r="180">
      <c r="E180" s="95"/>
      <c r="H180" s="95"/>
    </row>
    <row r="181">
      <c r="E181" s="95"/>
      <c r="H181" s="95"/>
    </row>
    <row r="182">
      <c r="E182" s="95"/>
      <c r="H182" s="95"/>
    </row>
    <row r="183">
      <c r="E183" s="95"/>
      <c r="H183" s="95"/>
    </row>
    <row r="184">
      <c r="E184" s="95"/>
      <c r="H184" s="95"/>
    </row>
    <row r="185">
      <c r="E185" s="95"/>
      <c r="H185" s="95"/>
    </row>
    <row r="186">
      <c r="E186" s="95"/>
      <c r="H186" s="95"/>
    </row>
    <row r="187">
      <c r="E187" s="95"/>
      <c r="H187" s="95"/>
    </row>
    <row r="188">
      <c r="E188" s="95"/>
      <c r="H188" s="95"/>
    </row>
    <row r="189">
      <c r="E189" s="95"/>
      <c r="H189" s="95"/>
    </row>
    <row r="190">
      <c r="E190" s="95"/>
      <c r="H190" s="95"/>
    </row>
    <row r="191">
      <c r="E191" s="95"/>
      <c r="H191" s="95"/>
    </row>
    <row r="192">
      <c r="E192" s="95"/>
      <c r="H192" s="95"/>
    </row>
    <row r="193">
      <c r="E193" s="95"/>
      <c r="H193" s="95"/>
    </row>
    <row r="194">
      <c r="E194" s="95"/>
      <c r="H194" s="95"/>
    </row>
    <row r="195">
      <c r="E195" s="95"/>
      <c r="H195" s="95"/>
    </row>
    <row r="196">
      <c r="E196" s="95"/>
      <c r="H196" s="95"/>
    </row>
    <row r="197">
      <c r="E197" s="95"/>
      <c r="H197" s="95"/>
    </row>
    <row r="198">
      <c r="E198" s="95"/>
      <c r="H198" s="95"/>
    </row>
    <row r="199">
      <c r="E199" s="95"/>
      <c r="H199" s="95"/>
    </row>
    <row r="200">
      <c r="E200" s="95"/>
      <c r="H200" s="95"/>
    </row>
    <row r="201">
      <c r="E201" s="95"/>
      <c r="H201" s="95"/>
    </row>
    <row r="202">
      <c r="E202" s="95"/>
      <c r="H202" s="95"/>
    </row>
    <row r="203">
      <c r="E203" s="95"/>
      <c r="H203" s="95"/>
    </row>
    <row r="204">
      <c r="E204" s="95"/>
      <c r="H204" s="95"/>
    </row>
    <row r="205">
      <c r="E205" s="95"/>
      <c r="H205" s="95"/>
    </row>
    <row r="206">
      <c r="E206" s="95"/>
      <c r="H206" s="95"/>
    </row>
    <row r="207">
      <c r="E207" s="95"/>
      <c r="H207" s="95"/>
    </row>
    <row r="208">
      <c r="E208" s="95"/>
      <c r="H208" s="95"/>
    </row>
    <row r="209">
      <c r="E209" s="95"/>
      <c r="H209" s="95"/>
    </row>
    <row r="210">
      <c r="E210" s="95"/>
      <c r="H210" s="95"/>
    </row>
    <row r="211">
      <c r="E211" s="95"/>
      <c r="H211" s="95"/>
    </row>
    <row r="212">
      <c r="E212" s="95"/>
      <c r="H212" s="95"/>
    </row>
    <row r="213">
      <c r="E213" s="95"/>
      <c r="H213" s="95"/>
    </row>
    <row r="214">
      <c r="E214" s="95"/>
      <c r="H214" s="95"/>
    </row>
    <row r="215">
      <c r="E215" s="95"/>
      <c r="H215" s="95"/>
    </row>
    <row r="216">
      <c r="E216" s="95"/>
      <c r="H216" s="95"/>
    </row>
    <row r="217">
      <c r="E217" s="95"/>
      <c r="H217" s="95"/>
    </row>
    <row r="218">
      <c r="E218" s="95"/>
      <c r="H218" s="95"/>
    </row>
    <row r="219">
      <c r="E219" s="95"/>
      <c r="H219" s="95"/>
    </row>
    <row r="220">
      <c r="E220" s="95"/>
      <c r="H220" s="95"/>
    </row>
    <row r="221">
      <c r="E221" s="95"/>
      <c r="H221" s="95"/>
    </row>
    <row r="222">
      <c r="E222" s="95"/>
      <c r="H222" s="95"/>
    </row>
    <row r="223">
      <c r="E223" s="95"/>
      <c r="H223" s="95"/>
    </row>
    <row r="224">
      <c r="E224" s="95"/>
      <c r="H224" s="95"/>
    </row>
    <row r="225">
      <c r="E225" s="95"/>
      <c r="H225" s="95"/>
    </row>
    <row r="226">
      <c r="E226" s="95"/>
      <c r="H226" s="95"/>
    </row>
    <row r="227">
      <c r="E227" s="95"/>
      <c r="H227" s="95"/>
    </row>
    <row r="228">
      <c r="E228" s="95"/>
      <c r="H228" s="95"/>
    </row>
    <row r="229">
      <c r="E229" s="95"/>
      <c r="H229" s="95"/>
    </row>
    <row r="230">
      <c r="E230" s="95"/>
      <c r="H230" s="95"/>
    </row>
    <row r="231">
      <c r="E231" s="95"/>
      <c r="H231" s="95"/>
    </row>
    <row r="232">
      <c r="E232" s="95"/>
      <c r="H232" s="95"/>
    </row>
    <row r="233">
      <c r="E233" s="95"/>
      <c r="H233" s="95"/>
    </row>
    <row r="234">
      <c r="E234" s="95"/>
      <c r="H234" s="95"/>
    </row>
    <row r="235">
      <c r="E235" s="95"/>
      <c r="H235" s="95"/>
    </row>
    <row r="236">
      <c r="E236" s="95"/>
      <c r="H236" s="95"/>
    </row>
    <row r="237">
      <c r="E237" s="95"/>
      <c r="H237" s="95"/>
    </row>
    <row r="238">
      <c r="E238" s="95"/>
      <c r="H238" s="95"/>
    </row>
    <row r="239">
      <c r="E239" s="95"/>
      <c r="H239" s="95"/>
    </row>
    <row r="240">
      <c r="E240" s="95"/>
      <c r="H240" s="95"/>
    </row>
    <row r="241">
      <c r="E241" s="95"/>
      <c r="H241" s="95"/>
    </row>
    <row r="242">
      <c r="E242" s="95"/>
      <c r="H242" s="95"/>
    </row>
    <row r="243">
      <c r="E243" s="95"/>
      <c r="H243" s="95"/>
    </row>
    <row r="244">
      <c r="E244" s="95"/>
      <c r="H244" s="95"/>
    </row>
    <row r="245">
      <c r="E245" s="95"/>
      <c r="H245" s="95"/>
    </row>
    <row r="246">
      <c r="E246" s="95"/>
      <c r="H246" s="95"/>
    </row>
    <row r="247">
      <c r="E247" s="95"/>
      <c r="H247" s="95"/>
    </row>
    <row r="248">
      <c r="E248" s="95"/>
      <c r="H248" s="95"/>
    </row>
    <row r="249">
      <c r="E249" s="95"/>
      <c r="H249" s="95"/>
    </row>
    <row r="250">
      <c r="E250" s="95"/>
      <c r="H250" s="95"/>
    </row>
    <row r="251">
      <c r="E251" s="95"/>
      <c r="H251" s="95"/>
    </row>
    <row r="252">
      <c r="E252" s="95"/>
      <c r="H252" s="95"/>
    </row>
    <row r="253">
      <c r="E253" s="95"/>
      <c r="H253" s="95"/>
    </row>
    <row r="254">
      <c r="E254" s="95"/>
      <c r="H254" s="95"/>
    </row>
    <row r="255">
      <c r="E255" s="95"/>
      <c r="H255" s="95"/>
    </row>
    <row r="256">
      <c r="E256" s="95"/>
      <c r="H256" s="95"/>
    </row>
    <row r="257">
      <c r="E257" s="95"/>
      <c r="H257" s="95"/>
    </row>
    <row r="258">
      <c r="E258" s="95"/>
      <c r="H258" s="95"/>
    </row>
    <row r="259">
      <c r="E259" s="95"/>
      <c r="H259" s="95"/>
    </row>
    <row r="260">
      <c r="E260" s="95"/>
      <c r="H260" s="95"/>
    </row>
    <row r="261">
      <c r="E261" s="95"/>
      <c r="H261" s="95"/>
    </row>
    <row r="262">
      <c r="E262" s="95"/>
      <c r="H262" s="95"/>
    </row>
    <row r="263">
      <c r="E263" s="95"/>
      <c r="H263" s="95"/>
    </row>
    <row r="264">
      <c r="E264" s="95"/>
      <c r="H264" s="95"/>
    </row>
    <row r="265">
      <c r="E265" s="95"/>
      <c r="H265" s="95"/>
    </row>
    <row r="266">
      <c r="E266" s="95"/>
      <c r="H266" s="95"/>
    </row>
    <row r="267">
      <c r="E267" s="95"/>
      <c r="H267" s="95"/>
    </row>
    <row r="268">
      <c r="E268" s="95"/>
      <c r="H268" s="95"/>
    </row>
    <row r="269">
      <c r="E269" s="95"/>
      <c r="H269" s="95"/>
    </row>
    <row r="270">
      <c r="E270" s="95"/>
      <c r="H270" s="95"/>
    </row>
    <row r="271">
      <c r="E271" s="95"/>
      <c r="H271" s="95"/>
    </row>
    <row r="272">
      <c r="E272" s="95"/>
      <c r="H272" s="95"/>
    </row>
    <row r="273">
      <c r="E273" s="95"/>
      <c r="H273" s="95"/>
    </row>
    <row r="274">
      <c r="E274" s="95"/>
      <c r="H274" s="95"/>
    </row>
    <row r="275">
      <c r="E275" s="95"/>
      <c r="H275" s="95"/>
    </row>
    <row r="276">
      <c r="E276" s="95"/>
      <c r="H276" s="95"/>
    </row>
    <row r="277">
      <c r="E277" s="95"/>
      <c r="H277" s="95"/>
    </row>
    <row r="278">
      <c r="E278" s="95"/>
      <c r="H278" s="95"/>
    </row>
    <row r="279">
      <c r="E279" s="95"/>
      <c r="H279" s="95"/>
    </row>
    <row r="280">
      <c r="E280" s="95"/>
      <c r="H280" s="95"/>
    </row>
    <row r="281">
      <c r="E281" s="95"/>
      <c r="H281" s="95"/>
    </row>
    <row r="282">
      <c r="E282" s="95"/>
      <c r="H282" s="95"/>
    </row>
    <row r="283">
      <c r="E283" s="95"/>
      <c r="H283" s="95"/>
    </row>
    <row r="284">
      <c r="E284" s="95"/>
      <c r="H284" s="95"/>
    </row>
    <row r="285">
      <c r="E285" s="95"/>
      <c r="H285" s="95"/>
    </row>
    <row r="286">
      <c r="E286" s="95"/>
      <c r="H286" s="95"/>
    </row>
    <row r="287">
      <c r="E287" s="95"/>
      <c r="H287" s="95"/>
    </row>
    <row r="288">
      <c r="E288" s="95"/>
      <c r="H288" s="95"/>
    </row>
    <row r="289">
      <c r="E289" s="95"/>
      <c r="H289" s="95"/>
    </row>
    <row r="290">
      <c r="E290" s="95"/>
      <c r="H290" s="95"/>
    </row>
    <row r="291">
      <c r="E291" s="95"/>
      <c r="H291" s="95"/>
    </row>
    <row r="292">
      <c r="E292" s="95"/>
      <c r="H292" s="95"/>
    </row>
    <row r="293">
      <c r="E293" s="95"/>
      <c r="H293" s="95"/>
    </row>
    <row r="294">
      <c r="E294" s="95"/>
      <c r="H294" s="95"/>
    </row>
    <row r="295">
      <c r="E295" s="95"/>
      <c r="H295" s="95"/>
    </row>
    <row r="296">
      <c r="E296" s="95"/>
      <c r="H296" s="95"/>
    </row>
    <row r="297">
      <c r="E297" s="95"/>
      <c r="H297" s="95"/>
    </row>
    <row r="298">
      <c r="E298" s="95"/>
      <c r="H298" s="95"/>
    </row>
    <row r="299">
      <c r="E299" s="95"/>
      <c r="H299" s="95"/>
    </row>
    <row r="300">
      <c r="E300" s="95"/>
      <c r="H300" s="95"/>
    </row>
    <row r="301">
      <c r="E301" s="95"/>
      <c r="H301" s="95"/>
    </row>
    <row r="302">
      <c r="E302" s="95"/>
      <c r="H302" s="95"/>
    </row>
    <row r="303">
      <c r="E303" s="95"/>
      <c r="H303" s="95"/>
    </row>
    <row r="304">
      <c r="E304" s="95"/>
      <c r="H304" s="95"/>
    </row>
    <row r="305">
      <c r="E305" s="95"/>
      <c r="H305" s="95"/>
    </row>
    <row r="306">
      <c r="E306" s="95"/>
      <c r="H306" s="95"/>
    </row>
    <row r="307">
      <c r="E307" s="95"/>
      <c r="H307" s="95"/>
    </row>
    <row r="308">
      <c r="E308" s="95"/>
      <c r="H308" s="95"/>
    </row>
    <row r="309">
      <c r="E309" s="95"/>
      <c r="H309" s="95"/>
    </row>
    <row r="310">
      <c r="E310" s="95"/>
      <c r="H310" s="95"/>
    </row>
    <row r="311">
      <c r="E311" s="95"/>
      <c r="H311" s="95"/>
    </row>
    <row r="312">
      <c r="E312" s="95"/>
      <c r="H312" s="95"/>
    </row>
    <row r="313">
      <c r="E313" s="95"/>
      <c r="H313" s="95"/>
    </row>
    <row r="314">
      <c r="E314" s="95"/>
      <c r="H314" s="95"/>
    </row>
    <row r="315">
      <c r="E315" s="95"/>
      <c r="H315" s="95"/>
    </row>
    <row r="316">
      <c r="E316" s="95"/>
      <c r="H316" s="95"/>
    </row>
    <row r="317">
      <c r="E317" s="95"/>
      <c r="H317" s="95"/>
    </row>
    <row r="318">
      <c r="E318" s="95"/>
      <c r="H318" s="95"/>
    </row>
    <row r="319">
      <c r="E319" s="95"/>
      <c r="H319" s="95"/>
    </row>
    <row r="320">
      <c r="E320" s="95"/>
      <c r="H320" s="95"/>
    </row>
    <row r="321">
      <c r="E321" s="95"/>
      <c r="H321" s="95"/>
    </row>
    <row r="322">
      <c r="E322" s="95"/>
      <c r="H322" s="95"/>
    </row>
    <row r="323">
      <c r="E323" s="95"/>
      <c r="H323" s="95"/>
    </row>
    <row r="324">
      <c r="E324" s="95"/>
      <c r="H324" s="95"/>
    </row>
    <row r="325">
      <c r="E325" s="95"/>
      <c r="H325" s="95"/>
    </row>
    <row r="326">
      <c r="E326" s="95"/>
      <c r="H326" s="95"/>
    </row>
    <row r="327">
      <c r="E327" s="95"/>
      <c r="H327" s="95"/>
    </row>
    <row r="328">
      <c r="E328" s="95"/>
      <c r="H328" s="95"/>
    </row>
    <row r="329">
      <c r="E329" s="95"/>
      <c r="H329" s="95"/>
    </row>
    <row r="330">
      <c r="E330" s="95"/>
      <c r="H330" s="95"/>
    </row>
    <row r="331">
      <c r="E331" s="95"/>
      <c r="H331" s="95"/>
    </row>
    <row r="332">
      <c r="E332" s="95"/>
      <c r="H332" s="95"/>
    </row>
    <row r="333">
      <c r="E333" s="95"/>
      <c r="H333" s="95"/>
    </row>
    <row r="334">
      <c r="E334" s="95"/>
      <c r="H334" s="95"/>
    </row>
    <row r="335">
      <c r="E335" s="95"/>
      <c r="H335" s="95"/>
    </row>
    <row r="336">
      <c r="E336" s="95"/>
      <c r="H336" s="95"/>
    </row>
    <row r="337">
      <c r="E337" s="95"/>
      <c r="H337" s="95"/>
    </row>
    <row r="338">
      <c r="E338" s="95"/>
      <c r="H338" s="95"/>
    </row>
    <row r="339">
      <c r="E339" s="95"/>
      <c r="H339" s="95"/>
    </row>
    <row r="340">
      <c r="E340" s="95"/>
      <c r="H340" s="95"/>
    </row>
    <row r="341">
      <c r="E341" s="95"/>
      <c r="H341" s="95"/>
    </row>
    <row r="342">
      <c r="E342" s="95"/>
      <c r="H342" s="95"/>
    </row>
    <row r="343">
      <c r="E343" s="95"/>
      <c r="H343" s="95"/>
    </row>
    <row r="344">
      <c r="E344" s="95"/>
      <c r="H344" s="95"/>
    </row>
    <row r="345">
      <c r="E345" s="95"/>
      <c r="H345" s="95"/>
    </row>
    <row r="346">
      <c r="E346" s="95"/>
      <c r="H346" s="95"/>
    </row>
    <row r="347">
      <c r="E347" s="95"/>
      <c r="H347" s="95"/>
    </row>
    <row r="348">
      <c r="E348" s="95"/>
      <c r="H348" s="95"/>
    </row>
    <row r="349">
      <c r="E349" s="95"/>
      <c r="H349" s="95"/>
    </row>
    <row r="350">
      <c r="E350" s="95"/>
      <c r="H350" s="95"/>
    </row>
    <row r="351">
      <c r="E351" s="95"/>
      <c r="H351" s="95"/>
    </row>
    <row r="352">
      <c r="E352" s="95"/>
      <c r="H352" s="95"/>
    </row>
    <row r="353">
      <c r="E353" s="95"/>
      <c r="H353" s="95"/>
    </row>
    <row r="354">
      <c r="E354" s="95"/>
      <c r="H354" s="95"/>
    </row>
    <row r="355">
      <c r="E355" s="95"/>
      <c r="H355" s="95"/>
    </row>
    <row r="356">
      <c r="E356" s="95"/>
      <c r="H356" s="95"/>
    </row>
    <row r="357">
      <c r="E357" s="95"/>
      <c r="H357" s="95"/>
    </row>
    <row r="358">
      <c r="E358" s="95"/>
      <c r="H358" s="95"/>
    </row>
    <row r="359">
      <c r="E359" s="95"/>
      <c r="H359" s="95"/>
    </row>
    <row r="360">
      <c r="E360" s="95"/>
      <c r="H360" s="95"/>
    </row>
    <row r="361">
      <c r="E361" s="95"/>
      <c r="H361" s="95"/>
    </row>
    <row r="362">
      <c r="E362" s="95"/>
      <c r="H362" s="95"/>
    </row>
    <row r="363">
      <c r="E363" s="95"/>
      <c r="H363" s="95"/>
    </row>
    <row r="364">
      <c r="E364" s="95"/>
      <c r="H364" s="95"/>
    </row>
    <row r="365">
      <c r="E365" s="95"/>
      <c r="H365" s="95"/>
    </row>
    <row r="366">
      <c r="E366" s="95"/>
      <c r="H366" s="95"/>
    </row>
    <row r="367">
      <c r="E367" s="95"/>
      <c r="H367" s="95"/>
    </row>
    <row r="368">
      <c r="E368" s="95"/>
      <c r="H368" s="95"/>
    </row>
    <row r="369">
      <c r="E369" s="95"/>
      <c r="H369" s="95"/>
    </row>
    <row r="370">
      <c r="E370" s="95"/>
      <c r="H370" s="95"/>
    </row>
    <row r="371">
      <c r="E371" s="95"/>
      <c r="H371" s="95"/>
    </row>
    <row r="372">
      <c r="E372" s="95"/>
      <c r="H372" s="95"/>
    </row>
    <row r="373">
      <c r="E373" s="95"/>
      <c r="H373" s="95"/>
    </row>
    <row r="374">
      <c r="E374" s="95"/>
      <c r="H374" s="95"/>
    </row>
    <row r="375">
      <c r="E375" s="95"/>
      <c r="H375" s="95"/>
    </row>
    <row r="376">
      <c r="E376" s="95"/>
      <c r="H376" s="95"/>
    </row>
    <row r="377">
      <c r="E377" s="95"/>
      <c r="H377" s="95"/>
    </row>
    <row r="378">
      <c r="E378" s="95"/>
      <c r="H378" s="95"/>
    </row>
    <row r="379">
      <c r="E379" s="95"/>
      <c r="H379" s="95"/>
    </row>
    <row r="380">
      <c r="E380" s="95"/>
      <c r="H380" s="95"/>
    </row>
    <row r="381">
      <c r="E381" s="95"/>
      <c r="H381" s="95"/>
    </row>
    <row r="382">
      <c r="E382" s="95"/>
      <c r="H382" s="95"/>
    </row>
    <row r="383">
      <c r="E383" s="95"/>
      <c r="H383" s="95"/>
    </row>
    <row r="384">
      <c r="E384" s="95"/>
      <c r="H384" s="95"/>
    </row>
    <row r="385">
      <c r="E385" s="95"/>
      <c r="H385" s="95"/>
    </row>
    <row r="386">
      <c r="E386" s="95"/>
      <c r="H386" s="95"/>
    </row>
    <row r="387">
      <c r="E387" s="95"/>
      <c r="H387" s="95"/>
    </row>
    <row r="388">
      <c r="E388" s="95"/>
      <c r="H388" s="95"/>
    </row>
    <row r="389">
      <c r="E389" s="95"/>
      <c r="H389" s="95"/>
    </row>
    <row r="390">
      <c r="E390" s="95"/>
      <c r="H390" s="95"/>
    </row>
    <row r="391">
      <c r="E391" s="95"/>
      <c r="H391" s="95"/>
    </row>
    <row r="392">
      <c r="E392" s="95"/>
      <c r="H392" s="95"/>
    </row>
    <row r="393">
      <c r="E393" s="95"/>
      <c r="H393" s="95"/>
    </row>
    <row r="394">
      <c r="E394" s="95"/>
      <c r="H394" s="95"/>
    </row>
    <row r="395">
      <c r="E395" s="95"/>
      <c r="H395" s="95"/>
    </row>
    <row r="396">
      <c r="E396" s="95"/>
      <c r="H396" s="95"/>
    </row>
    <row r="397">
      <c r="E397" s="95"/>
      <c r="H397" s="95"/>
    </row>
    <row r="398">
      <c r="E398" s="95"/>
      <c r="H398" s="95"/>
    </row>
    <row r="399">
      <c r="E399" s="95"/>
      <c r="H399" s="95"/>
    </row>
    <row r="400">
      <c r="E400" s="95"/>
      <c r="H400" s="95"/>
    </row>
    <row r="401">
      <c r="E401" s="95"/>
      <c r="H401" s="95"/>
    </row>
    <row r="402">
      <c r="E402" s="95"/>
      <c r="H402" s="95"/>
    </row>
    <row r="403">
      <c r="E403" s="95"/>
      <c r="H403" s="95"/>
    </row>
    <row r="404">
      <c r="E404" s="95"/>
      <c r="H404" s="95"/>
    </row>
    <row r="405">
      <c r="E405" s="95"/>
      <c r="H405" s="95"/>
    </row>
    <row r="406">
      <c r="E406" s="95"/>
      <c r="H406" s="95"/>
    </row>
    <row r="407">
      <c r="E407" s="95"/>
      <c r="H407" s="95"/>
    </row>
    <row r="408">
      <c r="E408" s="95"/>
      <c r="H408" s="95"/>
    </row>
    <row r="409">
      <c r="E409" s="95"/>
      <c r="H409" s="95"/>
    </row>
    <row r="410">
      <c r="E410" s="95"/>
      <c r="H410" s="95"/>
    </row>
    <row r="411">
      <c r="E411" s="95"/>
      <c r="H411" s="95"/>
    </row>
    <row r="412">
      <c r="E412" s="95"/>
      <c r="H412" s="95"/>
    </row>
    <row r="413">
      <c r="E413" s="95"/>
      <c r="H413" s="95"/>
    </row>
    <row r="414">
      <c r="E414" s="95"/>
      <c r="H414" s="95"/>
    </row>
    <row r="415">
      <c r="E415" s="95"/>
      <c r="H415" s="95"/>
    </row>
    <row r="416">
      <c r="E416" s="95"/>
      <c r="H416" s="95"/>
    </row>
    <row r="417">
      <c r="E417" s="95"/>
      <c r="H417" s="95"/>
    </row>
    <row r="418">
      <c r="E418" s="95"/>
      <c r="H418" s="95"/>
    </row>
    <row r="419">
      <c r="E419" s="95"/>
      <c r="H419" s="95"/>
    </row>
    <row r="420">
      <c r="E420" s="95"/>
      <c r="H420" s="95"/>
    </row>
    <row r="421">
      <c r="E421" s="95"/>
      <c r="H421" s="95"/>
    </row>
    <row r="422">
      <c r="E422" s="95"/>
      <c r="H422" s="95"/>
    </row>
    <row r="423">
      <c r="E423" s="95"/>
      <c r="H423" s="95"/>
    </row>
    <row r="424">
      <c r="E424" s="95"/>
      <c r="H424" s="95"/>
    </row>
    <row r="425">
      <c r="E425" s="95"/>
      <c r="H425" s="95"/>
    </row>
    <row r="426">
      <c r="E426" s="95"/>
      <c r="H426" s="95"/>
    </row>
    <row r="427">
      <c r="E427" s="95"/>
      <c r="H427" s="95"/>
    </row>
    <row r="428">
      <c r="E428" s="95"/>
      <c r="H428" s="95"/>
    </row>
    <row r="429">
      <c r="E429" s="95"/>
      <c r="H429" s="95"/>
    </row>
    <row r="430">
      <c r="E430" s="95"/>
      <c r="H430" s="95"/>
    </row>
    <row r="431">
      <c r="E431" s="95"/>
      <c r="H431" s="95"/>
    </row>
    <row r="432">
      <c r="E432" s="95"/>
      <c r="H432" s="95"/>
    </row>
    <row r="433">
      <c r="E433" s="95"/>
      <c r="H433" s="95"/>
    </row>
    <row r="434">
      <c r="E434" s="95"/>
      <c r="H434" s="95"/>
    </row>
    <row r="435">
      <c r="E435" s="95"/>
      <c r="H435" s="95"/>
    </row>
    <row r="436">
      <c r="E436" s="95"/>
      <c r="H436" s="95"/>
    </row>
    <row r="437">
      <c r="E437" s="95"/>
      <c r="H437" s="95"/>
    </row>
    <row r="438">
      <c r="E438" s="95"/>
      <c r="H438" s="95"/>
    </row>
    <row r="439">
      <c r="E439" s="95"/>
      <c r="H439" s="95"/>
    </row>
    <row r="440">
      <c r="E440" s="95"/>
      <c r="H440" s="95"/>
    </row>
    <row r="441">
      <c r="E441" s="95"/>
      <c r="H441" s="95"/>
    </row>
    <row r="442">
      <c r="E442" s="95"/>
      <c r="H442" s="95"/>
    </row>
    <row r="443">
      <c r="E443" s="95"/>
      <c r="H443" s="95"/>
    </row>
    <row r="444">
      <c r="E444" s="95"/>
      <c r="H444" s="95"/>
    </row>
    <row r="445">
      <c r="E445" s="95"/>
      <c r="H445" s="95"/>
    </row>
    <row r="446">
      <c r="E446" s="95"/>
      <c r="H446" s="95"/>
    </row>
    <row r="447">
      <c r="E447" s="95"/>
      <c r="H447" s="95"/>
    </row>
    <row r="448">
      <c r="E448" s="95"/>
      <c r="H448" s="95"/>
    </row>
    <row r="449">
      <c r="E449" s="95"/>
      <c r="H449" s="95"/>
    </row>
    <row r="450">
      <c r="E450" s="95"/>
      <c r="H450" s="95"/>
    </row>
    <row r="451">
      <c r="E451" s="95"/>
      <c r="H451" s="95"/>
    </row>
    <row r="452">
      <c r="E452" s="95"/>
      <c r="H452" s="95"/>
    </row>
    <row r="453">
      <c r="E453" s="95"/>
      <c r="H453" s="95"/>
    </row>
    <row r="454">
      <c r="E454" s="95"/>
      <c r="H454" s="95"/>
    </row>
    <row r="455">
      <c r="E455" s="95"/>
      <c r="H455" s="95"/>
    </row>
    <row r="456">
      <c r="E456" s="95"/>
      <c r="H456" s="95"/>
    </row>
    <row r="457">
      <c r="E457" s="95"/>
      <c r="H457" s="95"/>
    </row>
    <row r="458">
      <c r="E458" s="95"/>
      <c r="H458" s="95"/>
    </row>
    <row r="459">
      <c r="E459" s="95"/>
      <c r="H459" s="95"/>
    </row>
    <row r="460">
      <c r="E460" s="95"/>
      <c r="H460" s="95"/>
    </row>
    <row r="461">
      <c r="E461" s="95"/>
      <c r="H461" s="95"/>
    </row>
    <row r="462">
      <c r="E462" s="95"/>
      <c r="H462" s="95"/>
    </row>
    <row r="463">
      <c r="E463" s="95"/>
      <c r="H463" s="95"/>
    </row>
    <row r="464">
      <c r="E464" s="95"/>
      <c r="H464" s="95"/>
    </row>
    <row r="465">
      <c r="E465" s="95"/>
      <c r="H465" s="95"/>
    </row>
    <row r="466">
      <c r="E466" s="95"/>
      <c r="H466" s="95"/>
    </row>
    <row r="467">
      <c r="E467" s="95"/>
      <c r="H467" s="95"/>
    </row>
    <row r="468">
      <c r="E468" s="95"/>
      <c r="H468" s="95"/>
    </row>
    <row r="469">
      <c r="E469" s="95"/>
      <c r="H469" s="95"/>
    </row>
    <row r="470">
      <c r="E470" s="95"/>
      <c r="H470" s="95"/>
    </row>
    <row r="471">
      <c r="E471" s="95"/>
      <c r="H471" s="95"/>
    </row>
    <row r="472">
      <c r="E472" s="95"/>
      <c r="H472" s="95"/>
    </row>
    <row r="473">
      <c r="E473" s="95"/>
      <c r="H473" s="95"/>
    </row>
    <row r="474">
      <c r="E474" s="95"/>
      <c r="H474" s="95"/>
    </row>
    <row r="475">
      <c r="E475" s="95"/>
      <c r="H475" s="95"/>
    </row>
    <row r="476">
      <c r="E476" s="95"/>
      <c r="H476" s="95"/>
    </row>
    <row r="477">
      <c r="E477" s="95"/>
      <c r="H477" s="95"/>
    </row>
    <row r="478">
      <c r="E478" s="95"/>
      <c r="H478" s="95"/>
    </row>
    <row r="479">
      <c r="E479" s="95"/>
      <c r="H479" s="95"/>
    </row>
    <row r="480">
      <c r="E480" s="95"/>
      <c r="H480" s="95"/>
    </row>
    <row r="481">
      <c r="E481" s="95"/>
      <c r="H481" s="95"/>
    </row>
    <row r="482">
      <c r="E482" s="95"/>
      <c r="H482" s="95"/>
    </row>
    <row r="483">
      <c r="E483" s="95"/>
      <c r="H483" s="95"/>
    </row>
    <row r="484">
      <c r="E484" s="95"/>
      <c r="H484" s="95"/>
    </row>
    <row r="485">
      <c r="E485" s="95"/>
      <c r="H485" s="95"/>
    </row>
    <row r="486">
      <c r="E486" s="95"/>
      <c r="H486" s="95"/>
    </row>
    <row r="487">
      <c r="E487" s="95"/>
      <c r="H487" s="95"/>
    </row>
    <row r="488">
      <c r="E488" s="95"/>
      <c r="H488" s="95"/>
    </row>
    <row r="489">
      <c r="E489" s="95"/>
      <c r="H489" s="95"/>
    </row>
    <row r="490">
      <c r="E490" s="95"/>
      <c r="H490" s="95"/>
    </row>
    <row r="491">
      <c r="E491" s="95"/>
      <c r="H491" s="95"/>
    </row>
    <row r="492">
      <c r="E492" s="95"/>
      <c r="H492" s="95"/>
    </row>
    <row r="493">
      <c r="E493" s="95"/>
      <c r="H493" s="95"/>
    </row>
    <row r="494">
      <c r="E494" s="95"/>
      <c r="H494" s="95"/>
    </row>
    <row r="495">
      <c r="E495" s="95"/>
      <c r="H495" s="95"/>
    </row>
    <row r="496">
      <c r="E496" s="95"/>
      <c r="H496" s="95"/>
    </row>
    <row r="497">
      <c r="E497" s="95"/>
      <c r="H497" s="95"/>
    </row>
    <row r="498">
      <c r="E498" s="95"/>
      <c r="H498" s="95"/>
    </row>
    <row r="499">
      <c r="E499" s="95"/>
      <c r="H499" s="95"/>
    </row>
    <row r="500">
      <c r="E500" s="95"/>
      <c r="H500" s="95"/>
    </row>
    <row r="501">
      <c r="E501" s="95"/>
      <c r="H501" s="95"/>
    </row>
    <row r="502">
      <c r="E502" s="95"/>
      <c r="H502" s="95"/>
    </row>
    <row r="503">
      <c r="E503" s="95"/>
      <c r="H503" s="95"/>
    </row>
    <row r="504">
      <c r="E504" s="95"/>
      <c r="H504" s="95"/>
    </row>
    <row r="505">
      <c r="E505" s="95"/>
      <c r="H505" s="95"/>
    </row>
    <row r="506">
      <c r="E506" s="95"/>
      <c r="H506" s="95"/>
    </row>
    <row r="507">
      <c r="E507" s="95"/>
      <c r="H507" s="95"/>
    </row>
    <row r="508">
      <c r="E508" s="95"/>
      <c r="H508" s="95"/>
    </row>
    <row r="509">
      <c r="E509" s="95"/>
      <c r="H509" s="95"/>
    </row>
    <row r="510">
      <c r="E510" s="95"/>
      <c r="H510" s="95"/>
    </row>
    <row r="511">
      <c r="E511" s="95"/>
      <c r="H511" s="95"/>
    </row>
    <row r="512">
      <c r="E512" s="95"/>
      <c r="H512" s="95"/>
    </row>
    <row r="513">
      <c r="E513" s="95"/>
      <c r="H513" s="95"/>
    </row>
    <row r="514">
      <c r="E514" s="95"/>
      <c r="H514" s="95"/>
    </row>
    <row r="515">
      <c r="E515" s="95"/>
      <c r="H515" s="95"/>
    </row>
    <row r="516">
      <c r="E516" s="95"/>
      <c r="H516" s="95"/>
    </row>
    <row r="517">
      <c r="E517" s="95"/>
      <c r="H517" s="95"/>
    </row>
    <row r="518">
      <c r="E518" s="95"/>
      <c r="H518" s="95"/>
    </row>
    <row r="519">
      <c r="E519" s="95"/>
      <c r="H519" s="95"/>
    </row>
    <row r="520">
      <c r="E520" s="95"/>
      <c r="H520" s="95"/>
    </row>
    <row r="521">
      <c r="E521" s="95"/>
      <c r="H521" s="95"/>
    </row>
    <row r="522">
      <c r="E522" s="95"/>
      <c r="H522" s="95"/>
    </row>
    <row r="523">
      <c r="E523" s="95"/>
      <c r="H523" s="95"/>
    </row>
    <row r="524">
      <c r="E524" s="95"/>
      <c r="H524" s="95"/>
    </row>
    <row r="525">
      <c r="E525" s="95"/>
      <c r="H525" s="95"/>
    </row>
    <row r="526">
      <c r="E526" s="95"/>
      <c r="H526" s="95"/>
    </row>
    <row r="527">
      <c r="E527" s="95"/>
      <c r="H527" s="95"/>
    </row>
    <row r="528">
      <c r="E528" s="95"/>
      <c r="H528" s="95"/>
    </row>
    <row r="529">
      <c r="E529" s="95"/>
      <c r="H529" s="95"/>
    </row>
    <row r="530">
      <c r="E530" s="95"/>
      <c r="H530" s="95"/>
    </row>
    <row r="531">
      <c r="E531" s="95"/>
      <c r="H531" s="95"/>
    </row>
    <row r="532">
      <c r="E532" s="95"/>
      <c r="H532" s="95"/>
    </row>
    <row r="533">
      <c r="E533" s="95"/>
      <c r="H533" s="95"/>
    </row>
    <row r="534">
      <c r="E534" s="95"/>
      <c r="H534" s="95"/>
    </row>
    <row r="535">
      <c r="E535" s="95"/>
      <c r="H535" s="95"/>
    </row>
    <row r="536">
      <c r="E536" s="95"/>
      <c r="H536" s="95"/>
    </row>
    <row r="537">
      <c r="E537" s="95"/>
      <c r="H537" s="95"/>
    </row>
    <row r="538">
      <c r="E538" s="95"/>
      <c r="H538" s="95"/>
    </row>
    <row r="539">
      <c r="E539" s="95"/>
      <c r="H539" s="95"/>
    </row>
    <row r="540">
      <c r="E540" s="95"/>
      <c r="H540" s="95"/>
    </row>
    <row r="541">
      <c r="E541" s="95"/>
      <c r="H541" s="95"/>
    </row>
    <row r="542">
      <c r="E542" s="95"/>
      <c r="H542" s="95"/>
    </row>
    <row r="543">
      <c r="E543" s="95"/>
      <c r="H543" s="95"/>
    </row>
    <row r="544">
      <c r="E544" s="95"/>
      <c r="H544" s="95"/>
    </row>
    <row r="545">
      <c r="E545" s="95"/>
      <c r="H545" s="95"/>
    </row>
    <row r="546">
      <c r="E546" s="95"/>
      <c r="H546" s="95"/>
    </row>
    <row r="547">
      <c r="E547" s="95"/>
      <c r="H547" s="95"/>
    </row>
    <row r="548">
      <c r="E548" s="95"/>
      <c r="H548" s="95"/>
    </row>
    <row r="549">
      <c r="E549" s="95"/>
      <c r="H549" s="95"/>
    </row>
    <row r="550">
      <c r="E550" s="95"/>
      <c r="H550" s="95"/>
    </row>
    <row r="551">
      <c r="E551" s="95"/>
      <c r="H551" s="95"/>
    </row>
    <row r="552">
      <c r="E552" s="95"/>
      <c r="H552" s="95"/>
    </row>
    <row r="553">
      <c r="E553" s="95"/>
      <c r="H553" s="95"/>
    </row>
    <row r="554">
      <c r="E554" s="95"/>
      <c r="H554" s="95"/>
    </row>
    <row r="555">
      <c r="E555" s="95"/>
      <c r="H555" s="95"/>
    </row>
    <row r="556">
      <c r="E556" s="95"/>
      <c r="H556" s="95"/>
    </row>
    <row r="557">
      <c r="E557" s="95"/>
      <c r="H557" s="95"/>
    </row>
    <row r="558">
      <c r="E558" s="95"/>
      <c r="H558" s="95"/>
    </row>
    <row r="559">
      <c r="E559" s="95"/>
      <c r="H559" s="95"/>
    </row>
    <row r="560">
      <c r="E560" s="95"/>
      <c r="H560" s="95"/>
    </row>
    <row r="561">
      <c r="E561" s="95"/>
      <c r="H561" s="95"/>
    </row>
    <row r="562">
      <c r="E562" s="95"/>
      <c r="H562" s="95"/>
    </row>
    <row r="563">
      <c r="E563" s="95"/>
      <c r="H563" s="95"/>
    </row>
    <row r="564">
      <c r="E564" s="95"/>
      <c r="H564" s="95"/>
    </row>
    <row r="565">
      <c r="E565" s="95"/>
      <c r="H565" s="95"/>
    </row>
    <row r="566">
      <c r="E566" s="95"/>
      <c r="H566" s="95"/>
    </row>
    <row r="567">
      <c r="E567" s="95"/>
      <c r="H567" s="95"/>
    </row>
    <row r="568">
      <c r="E568" s="95"/>
      <c r="H568" s="95"/>
    </row>
    <row r="569">
      <c r="E569" s="95"/>
      <c r="H569" s="95"/>
    </row>
    <row r="570">
      <c r="E570" s="95"/>
      <c r="H570" s="95"/>
    </row>
    <row r="571">
      <c r="E571" s="95"/>
      <c r="H571" s="95"/>
    </row>
    <row r="572">
      <c r="E572" s="95"/>
      <c r="H572" s="95"/>
    </row>
    <row r="573">
      <c r="E573" s="95"/>
      <c r="H573" s="95"/>
    </row>
    <row r="574">
      <c r="E574" s="95"/>
      <c r="H574" s="95"/>
    </row>
    <row r="575">
      <c r="E575" s="95"/>
      <c r="H575" s="95"/>
    </row>
    <row r="576">
      <c r="E576" s="95"/>
      <c r="H576" s="95"/>
    </row>
    <row r="577">
      <c r="E577" s="95"/>
      <c r="H577" s="95"/>
    </row>
    <row r="578">
      <c r="E578" s="95"/>
      <c r="H578" s="95"/>
    </row>
    <row r="579">
      <c r="E579" s="95"/>
      <c r="H579" s="95"/>
    </row>
    <row r="580">
      <c r="E580" s="95"/>
      <c r="H580" s="95"/>
    </row>
    <row r="581">
      <c r="E581" s="95"/>
      <c r="H581" s="95"/>
    </row>
    <row r="582">
      <c r="E582" s="95"/>
      <c r="H582" s="95"/>
    </row>
    <row r="583">
      <c r="E583" s="95"/>
      <c r="H583" s="95"/>
    </row>
    <row r="584">
      <c r="E584" s="95"/>
      <c r="H584" s="95"/>
    </row>
    <row r="585">
      <c r="E585" s="95"/>
      <c r="H585" s="95"/>
    </row>
    <row r="586">
      <c r="E586" s="95"/>
      <c r="H586" s="95"/>
    </row>
    <row r="587">
      <c r="E587" s="95"/>
      <c r="H587" s="95"/>
    </row>
    <row r="588">
      <c r="E588" s="95"/>
      <c r="H588" s="95"/>
    </row>
    <row r="589">
      <c r="E589" s="95"/>
      <c r="H589" s="95"/>
    </row>
    <row r="590">
      <c r="E590" s="95"/>
      <c r="H590" s="95"/>
    </row>
    <row r="591">
      <c r="E591" s="95"/>
      <c r="H591" s="95"/>
    </row>
    <row r="592">
      <c r="E592" s="95"/>
      <c r="H592" s="95"/>
    </row>
    <row r="593">
      <c r="E593" s="95"/>
      <c r="H593" s="95"/>
    </row>
    <row r="594">
      <c r="E594" s="95"/>
      <c r="H594" s="95"/>
    </row>
    <row r="595">
      <c r="E595" s="95"/>
      <c r="H595" s="95"/>
    </row>
    <row r="596">
      <c r="E596" s="95"/>
      <c r="H596" s="95"/>
    </row>
    <row r="597">
      <c r="E597" s="95"/>
      <c r="H597" s="95"/>
    </row>
    <row r="598">
      <c r="E598" s="95"/>
      <c r="H598" s="95"/>
    </row>
    <row r="599">
      <c r="E599" s="95"/>
      <c r="H599" s="95"/>
    </row>
    <row r="600">
      <c r="E600" s="95"/>
      <c r="H600" s="95"/>
    </row>
    <row r="601">
      <c r="E601" s="95"/>
      <c r="H601" s="95"/>
    </row>
    <row r="602">
      <c r="E602" s="95"/>
      <c r="H602" s="95"/>
    </row>
    <row r="603">
      <c r="E603" s="95"/>
      <c r="H603" s="95"/>
    </row>
    <row r="604">
      <c r="E604" s="95"/>
      <c r="H604" s="95"/>
    </row>
    <row r="605">
      <c r="E605" s="95"/>
      <c r="H605" s="95"/>
    </row>
    <row r="606">
      <c r="E606" s="95"/>
      <c r="H606" s="95"/>
    </row>
    <row r="607">
      <c r="E607" s="95"/>
      <c r="H607" s="95"/>
    </row>
    <row r="608">
      <c r="E608" s="95"/>
      <c r="H608" s="95"/>
    </row>
    <row r="609">
      <c r="E609" s="95"/>
      <c r="H609" s="95"/>
    </row>
    <row r="610">
      <c r="E610" s="95"/>
      <c r="H610" s="95"/>
    </row>
    <row r="611">
      <c r="E611" s="95"/>
      <c r="H611" s="95"/>
    </row>
    <row r="612">
      <c r="E612" s="95"/>
      <c r="H612" s="95"/>
    </row>
    <row r="613">
      <c r="E613" s="95"/>
      <c r="H613" s="95"/>
    </row>
    <row r="614">
      <c r="E614" s="95"/>
      <c r="H614" s="95"/>
    </row>
    <row r="615">
      <c r="E615" s="95"/>
      <c r="H615" s="95"/>
    </row>
    <row r="616">
      <c r="E616" s="95"/>
      <c r="H616" s="95"/>
    </row>
    <row r="617">
      <c r="E617" s="95"/>
      <c r="H617" s="95"/>
    </row>
    <row r="618">
      <c r="E618" s="95"/>
      <c r="H618" s="95"/>
    </row>
    <row r="619">
      <c r="E619" s="95"/>
      <c r="H619" s="95"/>
    </row>
    <row r="620">
      <c r="E620" s="95"/>
      <c r="H620" s="95"/>
    </row>
    <row r="621">
      <c r="E621" s="95"/>
      <c r="H621" s="95"/>
    </row>
    <row r="622">
      <c r="E622" s="95"/>
      <c r="H622" s="95"/>
    </row>
    <row r="623">
      <c r="E623" s="95"/>
      <c r="H623" s="95"/>
    </row>
    <row r="624">
      <c r="E624" s="95"/>
      <c r="H624" s="95"/>
    </row>
    <row r="625">
      <c r="E625" s="95"/>
      <c r="H625" s="95"/>
    </row>
    <row r="626">
      <c r="E626" s="95"/>
      <c r="H626" s="95"/>
    </row>
    <row r="627">
      <c r="E627" s="95"/>
      <c r="H627" s="95"/>
    </row>
    <row r="628">
      <c r="E628" s="95"/>
      <c r="H628" s="95"/>
    </row>
    <row r="629">
      <c r="E629" s="95"/>
      <c r="H629" s="95"/>
    </row>
    <row r="630">
      <c r="E630" s="95"/>
      <c r="H630" s="95"/>
    </row>
    <row r="631">
      <c r="E631" s="95"/>
      <c r="H631" s="95"/>
    </row>
    <row r="632">
      <c r="E632" s="95"/>
      <c r="H632" s="95"/>
    </row>
    <row r="633">
      <c r="E633" s="95"/>
      <c r="H633" s="95"/>
    </row>
    <row r="634">
      <c r="E634" s="95"/>
      <c r="H634" s="95"/>
    </row>
    <row r="635">
      <c r="E635" s="95"/>
      <c r="H635" s="95"/>
    </row>
    <row r="636">
      <c r="E636" s="95"/>
      <c r="H636" s="95"/>
    </row>
    <row r="637">
      <c r="E637" s="95"/>
      <c r="H637" s="95"/>
    </row>
    <row r="638">
      <c r="E638" s="95"/>
      <c r="H638" s="95"/>
    </row>
    <row r="639">
      <c r="E639" s="95"/>
      <c r="H639" s="95"/>
    </row>
    <row r="640">
      <c r="E640" s="95"/>
      <c r="H640" s="95"/>
    </row>
    <row r="641">
      <c r="E641" s="95"/>
      <c r="H641" s="95"/>
    </row>
    <row r="642">
      <c r="E642" s="95"/>
      <c r="H642" s="95"/>
    </row>
    <row r="643">
      <c r="E643" s="95"/>
      <c r="H643" s="95"/>
    </row>
    <row r="644">
      <c r="E644" s="95"/>
      <c r="H644" s="95"/>
    </row>
    <row r="645">
      <c r="E645" s="95"/>
      <c r="H645" s="95"/>
    </row>
    <row r="646">
      <c r="E646" s="95"/>
      <c r="H646" s="95"/>
    </row>
    <row r="647">
      <c r="E647" s="95"/>
      <c r="H647" s="95"/>
    </row>
    <row r="648">
      <c r="E648" s="95"/>
      <c r="H648" s="95"/>
    </row>
    <row r="649">
      <c r="E649" s="95"/>
      <c r="H649" s="95"/>
    </row>
    <row r="650">
      <c r="E650" s="95"/>
      <c r="H650" s="95"/>
    </row>
    <row r="651">
      <c r="E651" s="95"/>
      <c r="H651" s="95"/>
    </row>
    <row r="652">
      <c r="E652" s="95"/>
      <c r="H652" s="95"/>
    </row>
    <row r="653">
      <c r="E653" s="95"/>
      <c r="H653" s="95"/>
    </row>
    <row r="654">
      <c r="E654" s="95"/>
      <c r="H654" s="95"/>
    </row>
    <row r="655">
      <c r="E655" s="95"/>
      <c r="H655" s="95"/>
    </row>
    <row r="656">
      <c r="E656" s="95"/>
      <c r="H656" s="95"/>
    </row>
    <row r="657">
      <c r="E657" s="95"/>
      <c r="H657" s="95"/>
    </row>
    <row r="658">
      <c r="E658" s="95"/>
      <c r="H658" s="95"/>
    </row>
    <row r="659">
      <c r="E659" s="95"/>
      <c r="H659" s="95"/>
    </row>
    <row r="660">
      <c r="E660" s="95"/>
      <c r="H660" s="95"/>
    </row>
    <row r="661">
      <c r="E661" s="95"/>
      <c r="H661" s="95"/>
    </row>
    <row r="662">
      <c r="E662" s="95"/>
      <c r="H662" s="95"/>
    </row>
    <row r="663">
      <c r="E663" s="95"/>
      <c r="H663" s="95"/>
    </row>
    <row r="664">
      <c r="E664" s="95"/>
      <c r="H664" s="95"/>
    </row>
    <row r="665">
      <c r="E665" s="95"/>
      <c r="H665" s="95"/>
    </row>
    <row r="666">
      <c r="E666" s="95"/>
      <c r="H666" s="95"/>
    </row>
    <row r="667">
      <c r="E667" s="95"/>
      <c r="H667" s="95"/>
    </row>
    <row r="668">
      <c r="E668" s="95"/>
      <c r="H668" s="95"/>
    </row>
    <row r="669">
      <c r="E669" s="95"/>
      <c r="H669" s="95"/>
    </row>
    <row r="670">
      <c r="E670" s="95"/>
      <c r="H670" s="95"/>
    </row>
    <row r="671">
      <c r="E671" s="95"/>
      <c r="H671" s="95"/>
    </row>
    <row r="672">
      <c r="E672" s="95"/>
      <c r="H672" s="95"/>
    </row>
    <row r="673">
      <c r="E673" s="95"/>
      <c r="H673" s="95"/>
    </row>
    <row r="674">
      <c r="E674" s="95"/>
      <c r="H674" s="95"/>
    </row>
    <row r="675">
      <c r="E675" s="95"/>
      <c r="H675" s="95"/>
    </row>
    <row r="676">
      <c r="E676" s="95"/>
      <c r="H676" s="95"/>
    </row>
    <row r="677">
      <c r="E677" s="95"/>
      <c r="H677" s="95"/>
    </row>
    <row r="678">
      <c r="E678" s="95"/>
      <c r="H678" s="95"/>
    </row>
    <row r="679">
      <c r="E679" s="95"/>
      <c r="H679" s="95"/>
    </row>
    <row r="680">
      <c r="E680" s="95"/>
      <c r="H680" s="95"/>
    </row>
    <row r="681">
      <c r="E681" s="95"/>
      <c r="H681" s="95"/>
    </row>
    <row r="682">
      <c r="E682" s="95"/>
      <c r="H682" s="95"/>
    </row>
    <row r="683">
      <c r="E683" s="95"/>
      <c r="H683" s="95"/>
    </row>
    <row r="684">
      <c r="E684" s="95"/>
      <c r="H684" s="95"/>
    </row>
    <row r="685">
      <c r="E685" s="95"/>
      <c r="H685" s="95"/>
    </row>
    <row r="686">
      <c r="E686" s="95"/>
      <c r="H686" s="95"/>
    </row>
    <row r="687">
      <c r="E687" s="95"/>
      <c r="H687" s="95"/>
    </row>
    <row r="688">
      <c r="E688" s="95"/>
      <c r="H688" s="95"/>
    </row>
    <row r="689">
      <c r="E689" s="95"/>
      <c r="H689" s="95"/>
    </row>
    <row r="690">
      <c r="E690" s="95"/>
      <c r="H690" s="95"/>
    </row>
    <row r="691">
      <c r="E691" s="95"/>
      <c r="H691" s="95"/>
    </row>
    <row r="692">
      <c r="E692" s="95"/>
      <c r="H692" s="95"/>
    </row>
    <row r="693">
      <c r="E693" s="95"/>
      <c r="H693" s="95"/>
    </row>
    <row r="694">
      <c r="E694" s="95"/>
      <c r="H694" s="95"/>
    </row>
    <row r="695">
      <c r="E695" s="95"/>
      <c r="H695" s="95"/>
    </row>
    <row r="696">
      <c r="E696" s="95"/>
      <c r="H696" s="95"/>
    </row>
    <row r="697">
      <c r="E697" s="95"/>
      <c r="H697" s="95"/>
    </row>
    <row r="698">
      <c r="E698" s="95"/>
      <c r="H698" s="95"/>
    </row>
    <row r="699">
      <c r="E699" s="95"/>
      <c r="H699" s="95"/>
    </row>
    <row r="700">
      <c r="E700" s="95"/>
      <c r="H700" s="95"/>
    </row>
    <row r="701">
      <c r="E701" s="95"/>
      <c r="H701" s="95"/>
    </row>
    <row r="702">
      <c r="E702" s="95"/>
      <c r="H702" s="95"/>
    </row>
    <row r="703">
      <c r="E703" s="95"/>
      <c r="H703" s="95"/>
    </row>
    <row r="704">
      <c r="E704" s="95"/>
      <c r="H704" s="95"/>
    </row>
    <row r="705">
      <c r="E705" s="95"/>
      <c r="H705" s="95"/>
    </row>
    <row r="706">
      <c r="E706" s="95"/>
      <c r="H706" s="95"/>
    </row>
    <row r="707">
      <c r="E707" s="95"/>
      <c r="H707" s="95"/>
    </row>
    <row r="708">
      <c r="E708" s="95"/>
      <c r="H708" s="95"/>
    </row>
    <row r="709">
      <c r="E709" s="95"/>
      <c r="H709" s="95"/>
    </row>
    <row r="710">
      <c r="E710" s="95"/>
      <c r="H710" s="95"/>
    </row>
    <row r="711">
      <c r="E711" s="95"/>
      <c r="H711" s="95"/>
    </row>
    <row r="712">
      <c r="E712" s="95"/>
      <c r="H712" s="95"/>
    </row>
    <row r="713">
      <c r="E713" s="95"/>
      <c r="H713" s="95"/>
    </row>
    <row r="714">
      <c r="E714" s="95"/>
      <c r="H714" s="95"/>
    </row>
    <row r="715">
      <c r="E715" s="95"/>
      <c r="H715" s="95"/>
    </row>
    <row r="716">
      <c r="E716" s="95"/>
      <c r="H716" s="95"/>
    </row>
    <row r="717">
      <c r="E717" s="95"/>
      <c r="H717" s="95"/>
    </row>
    <row r="718">
      <c r="E718" s="95"/>
      <c r="H718" s="95"/>
    </row>
    <row r="719">
      <c r="E719" s="95"/>
      <c r="H719" s="95"/>
    </row>
    <row r="720">
      <c r="E720" s="95"/>
      <c r="H720" s="95"/>
    </row>
    <row r="721">
      <c r="E721" s="95"/>
      <c r="H721" s="95"/>
    </row>
    <row r="722">
      <c r="E722" s="95"/>
      <c r="H722" s="95"/>
    </row>
    <row r="723">
      <c r="E723" s="95"/>
      <c r="H723" s="95"/>
    </row>
    <row r="724">
      <c r="E724" s="95"/>
      <c r="H724" s="95"/>
    </row>
    <row r="725">
      <c r="E725" s="95"/>
      <c r="H725" s="95"/>
    </row>
    <row r="726">
      <c r="E726" s="95"/>
      <c r="H726" s="95"/>
    </row>
    <row r="727">
      <c r="E727" s="95"/>
      <c r="H727" s="95"/>
    </row>
    <row r="728">
      <c r="E728" s="95"/>
      <c r="H728" s="95"/>
    </row>
    <row r="729">
      <c r="E729" s="95"/>
      <c r="H729" s="95"/>
    </row>
    <row r="730">
      <c r="E730" s="95"/>
      <c r="H730" s="95"/>
    </row>
    <row r="731">
      <c r="E731" s="95"/>
      <c r="H731" s="95"/>
    </row>
    <row r="732">
      <c r="E732" s="95"/>
      <c r="H732" s="95"/>
    </row>
    <row r="733">
      <c r="E733" s="95"/>
      <c r="H733" s="95"/>
    </row>
    <row r="734">
      <c r="E734" s="95"/>
      <c r="H734" s="95"/>
    </row>
    <row r="735">
      <c r="E735" s="95"/>
      <c r="H735" s="95"/>
    </row>
    <row r="736">
      <c r="E736" s="95"/>
      <c r="H736" s="95"/>
    </row>
    <row r="737">
      <c r="E737" s="95"/>
      <c r="H737" s="95"/>
    </row>
    <row r="738">
      <c r="E738" s="95"/>
      <c r="H738" s="95"/>
    </row>
    <row r="739">
      <c r="E739" s="95"/>
      <c r="H739" s="95"/>
    </row>
    <row r="740">
      <c r="E740" s="95"/>
      <c r="H740" s="95"/>
    </row>
    <row r="741">
      <c r="E741" s="95"/>
      <c r="H741" s="95"/>
    </row>
    <row r="742">
      <c r="E742" s="95"/>
      <c r="H742" s="95"/>
    </row>
    <row r="743">
      <c r="E743" s="95"/>
      <c r="H743" s="95"/>
    </row>
    <row r="744">
      <c r="E744" s="95"/>
      <c r="H744" s="95"/>
    </row>
    <row r="745">
      <c r="E745" s="95"/>
      <c r="H745" s="95"/>
    </row>
    <row r="746">
      <c r="E746" s="95"/>
      <c r="H746" s="95"/>
    </row>
    <row r="747">
      <c r="E747" s="95"/>
      <c r="H747" s="95"/>
    </row>
    <row r="748">
      <c r="E748" s="95"/>
      <c r="H748" s="95"/>
    </row>
    <row r="749">
      <c r="E749" s="95"/>
      <c r="H749" s="95"/>
    </row>
    <row r="750">
      <c r="E750" s="95"/>
      <c r="H750" s="95"/>
    </row>
    <row r="751">
      <c r="E751" s="95"/>
      <c r="H751" s="95"/>
    </row>
    <row r="752">
      <c r="E752" s="95"/>
      <c r="H752" s="95"/>
    </row>
    <row r="753">
      <c r="E753" s="95"/>
      <c r="H753" s="95"/>
    </row>
    <row r="754">
      <c r="E754" s="95"/>
      <c r="H754" s="95"/>
    </row>
    <row r="755">
      <c r="E755" s="95"/>
      <c r="H755" s="95"/>
    </row>
    <row r="756">
      <c r="E756" s="95"/>
      <c r="H756" s="95"/>
    </row>
    <row r="757">
      <c r="E757" s="95"/>
      <c r="H757" s="95"/>
    </row>
    <row r="758">
      <c r="E758" s="95"/>
      <c r="H758" s="95"/>
    </row>
    <row r="759">
      <c r="E759" s="95"/>
      <c r="H759" s="95"/>
    </row>
    <row r="760">
      <c r="E760" s="95"/>
      <c r="H760" s="95"/>
    </row>
    <row r="761">
      <c r="E761" s="95"/>
      <c r="H761" s="95"/>
    </row>
    <row r="762">
      <c r="E762" s="95"/>
      <c r="H762" s="95"/>
    </row>
    <row r="763">
      <c r="E763" s="95"/>
      <c r="H763" s="95"/>
    </row>
    <row r="764">
      <c r="E764" s="95"/>
      <c r="H764" s="95"/>
    </row>
    <row r="765">
      <c r="E765" s="95"/>
      <c r="H765" s="95"/>
    </row>
    <row r="766">
      <c r="E766" s="95"/>
      <c r="H766" s="95"/>
    </row>
    <row r="767">
      <c r="E767" s="95"/>
      <c r="H767" s="95"/>
    </row>
    <row r="768">
      <c r="E768" s="95"/>
      <c r="H768" s="95"/>
    </row>
    <row r="769">
      <c r="E769" s="95"/>
      <c r="H769" s="95"/>
    </row>
    <row r="770">
      <c r="E770" s="95"/>
      <c r="H770" s="95"/>
    </row>
    <row r="771">
      <c r="E771" s="95"/>
      <c r="H771" s="95"/>
    </row>
    <row r="772">
      <c r="E772" s="95"/>
      <c r="H772" s="95"/>
    </row>
    <row r="773">
      <c r="E773" s="95"/>
      <c r="H773" s="95"/>
    </row>
    <row r="774">
      <c r="E774" s="95"/>
      <c r="H774" s="95"/>
    </row>
    <row r="775">
      <c r="E775" s="95"/>
      <c r="H775" s="95"/>
    </row>
    <row r="776">
      <c r="E776" s="95"/>
      <c r="H776" s="95"/>
    </row>
    <row r="777">
      <c r="E777" s="95"/>
      <c r="H777" s="95"/>
    </row>
    <row r="778">
      <c r="E778" s="95"/>
      <c r="H778" s="95"/>
    </row>
    <row r="779">
      <c r="E779" s="95"/>
      <c r="H779" s="95"/>
    </row>
    <row r="780">
      <c r="E780" s="95"/>
      <c r="H780" s="95"/>
    </row>
    <row r="781">
      <c r="E781" s="95"/>
      <c r="H781" s="95"/>
    </row>
    <row r="782">
      <c r="E782" s="95"/>
      <c r="H782" s="95"/>
    </row>
    <row r="783">
      <c r="E783" s="95"/>
      <c r="H783" s="95"/>
    </row>
    <row r="784">
      <c r="E784" s="95"/>
      <c r="H784" s="95"/>
    </row>
    <row r="785">
      <c r="E785" s="95"/>
      <c r="H785" s="95"/>
    </row>
    <row r="786">
      <c r="E786" s="95"/>
      <c r="H786" s="95"/>
    </row>
    <row r="787">
      <c r="E787" s="95"/>
      <c r="H787" s="95"/>
    </row>
    <row r="788">
      <c r="E788" s="95"/>
      <c r="H788" s="95"/>
    </row>
    <row r="789">
      <c r="E789" s="95"/>
      <c r="H789" s="95"/>
    </row>
    <row r="790">
      <c r="E790" s="95"/>
      <c r="H790" s="95"/>
    </row>
    <row r="791">
      <c r="E791" s="95"/>
      <c r="H791" s="95"/>
    </row>
    <row r="792">
      <c r="E792" s="95"/>
      <c r="H792" s="95"/>
    </row>
    <row r="793">
      <c r="E793" s="95"/>
      <c r="H793" s="95"/>
    </row>
    <row r="794">
      <c r="E794" s="95"/>
      <c r="H794" s="95"/>
    </row>
    <row r="795">
      <c r="E795" s="95"/>
      <c r="H795" s="95"/>
    </row>
    <row r="796">
      <c r="E796" s="95"/>
      <c r="H796" s="95"/>
    </row>
    <row r="797">
      <c r="E797" s="95"/>
      <c r="H797" s="95"/>
    </row>
    <row r="798">
      <c r="E798" s="95"/>
      <c r="H798" s="95"/>
    </row>
    <row r="799">
      <c r="E799" s="95"/>
      <c r="H799" s="95"/>
    </row>
    <row r="800">
      <c r="E800" s="95"/>
      <c r="H800" s="95"/>
    </row>
    <row r="801">
      <c r="E801" s="95"/>
      <c r="H801" s="95"/>
    </row>
    <row r="802">
      <c r="E802" s="95"/>
      <c r="H802" s="95"/>
    </row>
    <row r="803">
      <c r="E803" s="95"/>
      <c r="H803" s="95"/>
    </row>
    <row r="804">
      <c r="E804" s="95"/>
      <c r="H804" s="95"/>
    </row>
    <row r="805">
      <c r="E805" s="95"/>
      <c r="H805" s="95"/>
    </row>
    <row r="806">
      <c r="E806" s="95"/>
      <c r="H806" s="95"/>
    </row>
    <row r="807">
      <c r="E807" s="95"/>
      <c r="H807" s="95"/>
    </row>
    <row r="808">
      <c r="E808" s="95"/>
      <c r="H808" s="95"/>
    </row>
    <row r="809">
      <c r="E809" s="95"/>
      <c r="H809" s="95"/>
    </row>
    <row r="810">
      <c r="E810" s="95"/>
      <c r="H810" s="95"/>
    </row>
    <row r="811">
      <c r="E811" s="95"/>
      <c r="H811" s="95"/>
    </row>
    <row r="812">
      <c r="E812" s="95"/>
      <c r="H812" s="95"/>
    </row>
    <row r="813">
      <c r="E813" s="95"/>
      <c r="H813" s="95"/>
    </row>
    <row r="814">
      <c r="E814" s="95"/>
      <c r="H814" s="95"/>
    </row>
    <row r="815">
      <c r="E815" s="95"/>
      <c r="H815" s="95"/>
    </row>
    <row r="816">
      <c r="E816" s="95"/>
      <c r="H816" s="95"/>
    </row>
    <row r="817">
      <c r="E817" s="95"/>
      <c r="H817" s="95"/>
    </row>
    <row r="818">
      <c r="E818" s="95"/>
      <c r="H818" s="95"/>
    </row>
    <row r="819">
      <c r="E819" s="95"/>
      <c r="H819" s="95"/>
    </row>
    <row r="820">
      <c r="E820" s="95"/>
      <c r="H820" s="95"/>
    </row>
    <row r="821">
      <c r="E821" s="95"/>
      <c r="H821" s="95"/>
    </row>
    <row r="822">
      <c r="E822" s="95"/>
      <c r="H822" s="95"/>
    </row>
    <row r="823">
      <c r="E823" s="95"/>
      <c r="H823" s="95"/>
    </row>
    <row r="824">
      <c r="E824" s="95"/>
      <c r="H824" s="95"/>
    </row>
    <row r="825">
      <c r="E825" s="95"/>
      <c r="H825" s="95"/>
    </row>
    <row r="826">
      <c r="E826" s="95"/>
      <c r="H826" s="95"/>
    </row>
    <row r="827">
      <c r="E827" s="95"/>
      <c r="H827" s="95"/>
    </row>
    <row r="828">
      <c r="E828" s="95"/>
      <c r="H828" s="95"/>
    </row>
    <row r="829">
      <c r="E829" s="95"/>
      <c r="H829" s="95"/>
    </row>
    <row r="830">
      <c r="E830" s="95"/>
      <c r="H830" s="95"/>
    </row>
    <row r="831">
      <c r="E831" s="95"/>
      <c r="H831" s="95"/>
    </row>
    <row r="832">
      <c r="E832" s="95"/>
      <c r="H832" s="95"/>
    </row>
    <row r="833">
      <c r="E833" s="95"/>
      <c r="H833" s="95"/>
    </row>
    <row r="834">
      <c r="E834" s="95"/>
      <c r="H834" s="95"/>
    </row>
    <row r="835">
      <c r="E835" s="95"/>
      <c r="H835" s="95"/>
    </row>
    <row r="836">
      <c r="E836" s="95"/>
      <c r="H836" s="95"/>
    </row>
    <row r="837">
      <c r="E837" s="95"/>
      <c r="H837" s="95"/>
    </row>
    <row r="838">
      <c r="E838" s="95"/>
      <c r="H838" s="95"/>
    </row>
    <row r="839">
      <c r="E839" s="95"/>
      <c r="H839" s="95"/>
    </row>
    <row r="840">
      <c r="E840" s="95"/>
      <c r="H840" s="95"/>
    </row>
    <row r="841">
      <c r="E841" s="95"/>
      <c r="H841" s="95"/>
    </row>
    <row r="842">
      <c r="E842" s="95"/>
      <c r="H842" s="95"/>
    </row>
    <row r="843">
      <c r="E843" s="95"/>
      <c r="H843" s="95"/>
    </row>
    <row r="844">
      <c r="E844" s="95"/>
      <c r="H844" s="95"/>
    </row>
    <row r="845">
      <c r="E845" s="95"/>
      <c r="H845" s="95"/>
    </row>
    <row r="846">
      <c r="E846" s="95"/>
      <c r="H846" s="95"/>
    </row>
    <row r="847">
      <c r="E847" s="95"/>
      <c r="H847" s="95"/>
    </row>
    <row r="848">
      <c r="E848" s="95"/>
      <c r="H848" s="95"/>
    </row>
    <row r="849">
      <c r="E849" s="95"/>
      <c r="H849" s="95"/>
    </row>
    <row r="850">
      <c r="E850" s="95"/>
      <c r="H850" s="95"/>
    </row>
    <row r="851">
      <c r="E851" s="95"/>
      <c r="H851" s="95"/>
    </row>
    <row r="852">
      <c r="E852" s="95"/>
      <c r="H852" s="95"/>
    </row>
    <row r="853">
      <c r="E853" s="95"/>
      <c r="H853" s="95"/>
    </row>
    <row r="854">
      <c r="E854" s="95"/>
      <c r="H854" s="95"/>
    </row>
    <row r="855">
      <c r="E855" s="95"/>
      <c r="H855" s="95"/>
    </row>
    <row r="856">
      <c r="E856" s="95"/>
      <c r="H856" s="95"/>
    </row>
    <row r="857">
      <c r="E857" s="95"/>
      <c r="H857" s="95"/>
    </row>
    <row r="858">
      <c r="E858" s="95"/>
      <c r="H858" s="95"/>
    </row>
    <row r="859">
      <c r="E859" s="95"/>
      <c r="H859" s="95"/>
    </row>
    <row r="860">
      <c r="E860" s="95"/>
      <c r="H860" s="95"/>
    </row>
    <row r="861">
      <c r="E861" s="95"/>
      <c r="H861" s="95"/>
    </row>
    <row r="862">
      <c r="E862" s="95"/>
      <c r="H862" s="95"/>
    </row>
    <row r="863">
      <c r="E863" s="95"/>
      <c r="H863" s="95"/>
    </row>
    <row r="864">
      <c r="E864" s="95"/>
      <c r="H864" s="95"/>
    </row>
    <row r="865">
      <c r="E865" s="95"/>
      <c r="H865" s="95"/>
    </row>
    <row r="866">
      <c r="E866" s="95"/>
      <c r="H866" s="95"/>
    </row>
    <row r="867">
      <c r="E867" s="95"/>
      <c r="H867" s="95"/>
    </row>
    <row r="868">
      <c r="E868" s="95"/>
      <c r="H868" s="95"/>
    </row>
    <row r="869">
      <c r="E869" s="95"/>
      <c r="H869" s="95"/>
    </row>
    <row r="870">
      <c r="E870" s="95"/>
      <c r="H870" s="95"/>
    </row>
    <row r="871">
      <c r="E871" s="95"/>
      <c r="H871" s="95"/>
    </row>
    <row r="872">
      <c r="E872" s="95"/>
      <c r="H872" s="95"/>
    </row>
    <row r="873">
      <c r="E873" s="95"/>
      <c r="H873" s="95"/>
    </row>
    <row r="874">
      <c r="E874" s="95"/>
      <c r="H874" s="95"/>
    </row>
    <row r="875">
      <c r="E875" s="95"/>
      <c r="H875" s="95"/>
    </row>
    <row r="876">
      <c r="E876" s="95"/>
      <c r="H876" s="95"/>
    </row>
    <row r="877">
      <c r="E877" s="95"/>
      <c r="H877" s="95"/>
    </row>
    <row r="878">
      <c r="E878" s="95"/>
      <c r="H878" s="95"/>
    </row>
    <row r="879">
      <c r="E879" s="95"/>
      <c r="H879" s="95"/>
    </row>
    <row r="880">
      <c r="E880" s="95"/>
      <c r="H880" s="95"/>
    </row>
    <row r="881">
      <c r="E881" s="95"/>
      <c r="H881" s="95"/>
    </row>
    <row r="882">
      <c r="E882" s="95"/>
      <c r="H882" s="95"/>
    </row>
    <row r="883">
      <c r="E883" s="95"/>
      <c r="H883" s="95"/>
    </row>
    <row r="884">
      <c r="E884" s="95"/>
      <c r="H884" s="95"/>
    </row>
    <row r="885">
      <c r="E885" s="95"/>
      <c r="H885" s="95"/>
    </row>
    <row r="886">
      <c r="E886" s="95"/>
      <c r="H886" s="95"/>
    </row>
    <row r="887">
      <c r="E887" s="95"/>
      <c r="H887" s="95"/>
    </row>
    <row r="888">
      <c r="E888" s="95"/>
      <c r="H888" s="95"/>
    </row>
    <row r="889">
      <c r="E889" s="95"/>
      <c r="H889" s="95"/>
    </row>
    <row r="890">
      <c r="E890" s="95"/>
      <c r="H890" s="95"/>
    </row>
    <row r="891">
      <c r="E891" s="95"/>
      <c r="H891" s="95"/>
    </row>
    <row r="892">
      <c r="E892" s="95"/>
      <c r="H892" s="95"/>
    </row>
    <row r="893">
      <c r="E893" s="95"/>
      <c r="H893" s="95"/>
    </row>
    <row r="894">
      <c r="E894" s="95"/>
      <c r="H894" s="95"/>
    </row>
    <row r="895">
      <c r="E895" s="95"/>
      <c r="H895" s="95"/>
    </row>
    <row r="896">
      <c r="E896" s="95"/>
      <c r="H896" s="95"/>
    </row>
    <row r="897">
      <c r="E897" s="95"/>
      <c r="H897" s="95"/>
    </row>
    <row r="898">
      <c r="E898" s="95"/>
      <c r="H898" s="95"/>
    </row>
    <row r="899">
      <c r="E899" s="95"/>
      <c r="H899" s="95"/>
    </row>
    <row r="900">
      <c r="E900" s="95"/>
      <c r="H900" s="95"/>
    </row>
    <row r="901">
      <c r="E901" s="95"/>
      <c r="H901" s="95"/>
    </row>
    <row r="902">
      <c r="E902" s="95"/>
      <c r="H902" s="95"/>
    </row>
  </sheetData>
  <hyperlinks>
    <hyperlink r:id="rId1" ref="B7"/>
    <hyperlink r:id="rId2" ref="B8"/>
    <hyperlink r:id="rId3" ref="B9"/>
    <hyperlink r:id="rId4" ref="B10"/>
    <hyperlink r:id="rId5" ref="B11"/>
    <hyperlink r:id="rId6" ref="B12"/>
    <hyperlink r:id="rId7" ref="B13"/>
    <hyperlink r:id="rId8" ref="B14"/>
    <hyperlink r:id="rId9" ref="B15"/>
    <hyperlink r:id="rId10" ref="B16"/>
    <hyperlink r:id="rId11" ref="B17"/>
    <hyperlink r:id="rId12" ref="B18"/>
    <hyperlink r:id="rId13" ref="B19"/>
    <hyperlink r:id="rId14" ref="B20"/>
    <hyperlink r:id="rId15" ref="B21"/>
    <hyperlink r:id="rId16" ref="B22"/>
    <hyperlink r:id="rId17" ref="B23"/>
    <hyperlink r:id="rId18" ref="B24"/>
    <hyperlink r:id="rId19" ref="B25"/>
    <hyperlink r:id="rId20" ref="B26"/>
    <hyperlink r:id="rId21" ref="B27"/>
    <hyperlink r:id="rId22" ref="B28"/>
    <hyperlink r:id="rId23" ref="B29"/>
    <hyperlink r:id="rId24" ref="B30"/>
    <hyperlink r:id="rId25" ref="B31"/>
    <hyperlink r:id="rId26" ref="B32"/>
    <hyperlink r:id="rId27" ref="B33"/>
  </hyperlinks>
  <printOptions gridLines="1" horizontalCentered="1"/>
  <pageMargins bottom="0.75" footer="0.0" header="0.0" left="0.7" right="0.7" top="0.75"/>
  <pageSetup fitToHeight="0" cellComments="atEnd" orientation="landscape" pageOrder="overThenDown"/>
  <drawing r:id="rId2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88"/>
    <col customWidth="1" min="4" max="4" width="77.5"/>
  </cols>
  <sheetData>
    <row r="1">
      <c r="A1" s="98"/>
      <c r="B1" s="6" t="s">
        <v>1185</v>
      </c>
      <c r="D1" s="2"/>
    </row>
    <row r="2">
      <c r="D2" s="2"/>
    </row>
    <row r="3">
      <c r="A3" s="99" t="s">
        <v>1186</v>
      </c>
      <c r="B3" s="99" t="s">
        <v>1187</v>
      </c>
      <c r="C3" s="99" t="s">
        <v>1188</v>
      </c>
      <c r="D3" s="99" t="s">
        <v>1189</v>
      </c>
      <c r="E3" s="99" t="s">
        <v>1190</v>
      </c>
      <c r="F3" s="99" t="s">
        <v>1191</v>
      </c>
      <c r="G3" s="100"/>
      <c r="H3" s="100"/>
      <c r="I3" s="100"/>
      <c r="J3" s="100"/>
      <c r="K3" s="100"/>
      <c r="L3" s="100"/>
      <c r="M3" s="100"/>
      <c r="N3" s="100"/>
      <c r="O3" s="100"/>
      <c r="P3" s="100"/>
      <c r="Q3" s="100"/>
      <c r="R3" s="100"/>
      <c r="S3" s="100"/>
      <c r="T3" s="100"/>
      <c r="U3" s="100"/>
      <c r="V3" s="100"/>
      <c r="W3" s="100"/>
      <c r="X3" s="100"/>
      <c r="Y3" s="100"/>
      <c r="Z3" s="100"/>
      <c r="AA3" s="100"/>
    </row>
    <row r="4">
      <c r="A4" s="101" t="s">
        <v>1192</v>
      </c>
      <c r="B4" s="101"/>
      <c r="C4" s="101"/>
      <c r="D4" s="102"/>
      <c r="E4" s="103"/>
      <c r="F4" s="103"/>
      <c r="G4" s="103"/>
      <c r="H4" s="103"/>
      <c r="I4" s="103"/>
      <c r="J4" s="103"/>
      <c r="K4" s="103"/>
      <c r="L4" s="103"/>
      <c r="M4" s="103"/>
      <c r="N4" s="103"/>
      <c r="O4" s="103"/>
      <c r="P4" s="103"/>
      <c r="Q4" s="103"/>
      <c r="R4" s="103"/>
      <c r="S4" s="103"/>
      <c r="T4" s="103"/>
      <c r="U4" s="103"/>
      <c r="V4" s="103"/>
      <c r="W4" s="103"/>
      <c r="X4" s="103"/>
      <c r="Y4" s="103"/>
      <c r="Z4" s="103"/>
      <c r="AA4" s="103"/>
    </row>
    <row r="5">
      <c r="B5" s="6" t="s">
        <v>1193</v>
      </c>
      <c r="C5" s="6" t="s">
        <v>1194</v>
      </c>
      <c r="D5" s="1" t="s">
        <v>1195</v>
      </c>
    </row>
    <row r="6">
      <c r="B6" s="6" t="s">
        <v>1196</v>
      </c>
      <c r="C6" s="6" t="s">
        <v>1197</v>
      </c>
      <c r="D6" s="1" t="s">
        <v>1198</v>
      </c>
    </row>
    <row r="7">
      <c r="B7" s="6" t="s">
        <v>1199</v>
      </c>
      <c r="C7" s="6" t="s">
        <v>1200</v>
      </c>
      <c r="D7" s="1" t="s">
        <v>1201</v>
      </c>
    </row>
    <row r="8">
      <c r="B8" s="6" t="s">
        <v>1202</v>
      </c>
      <c r="C8" s="6" t="s">
        <v>1203</v>
      </c>
      <c r="D8" s="1" t="s">
        <v>1204</v>
      </c>
    </row>
    <row r="9">
      <c r="B9" s="6" t="s">
        <v>1205</v>
      </c>
      <c r="C9" s="6" t="s">
        <v>1203</v>
      </c>
      <c r="D9" s="1" t="s">
        <v>1206</v>
      </c>
    </row>
    <row r="10">
      <c r="B10" s="6" t="s">
        <v>1207</v>
      </c>
      <c r="D10" s="1" t="s">
        <v>1208</v>
      </c>
    </row>
    <row r="11">
      <c r="B11" s="6" t="s">
        <v>1209</v>
      </c>
      <c r="C11" s="6" t="s">
        <v>1210</v>
      </c>
      <c r="D11" s="1" t="s">
        <v>1211</v>
      </c>
    </row>
    <row r="12">
      <c r="B12" s="6" t="s">
        <v>1212</v>
      </c>
      <c r="C12" s="6" t="s">
        <v>1213</v>
      </c>
      <c r="D12" s="1" t="s">
        <v>1214</v>
      </c>
    </row>
    <row r="13">
      <c r="B13" s="6" t="s">
        <v>1215</v>
      </c>
      <c r="C13" s="6" t="s">
        <v>1216</v>
      </c>
      <c r="D13" s="1" t="s">
        <v>1217</v>
      </c>
    </row>
    <row r="14">
      <c r="B14" s="6" t="s">
        <v>1218</v>
      </c>
      <c r="C14" s="6" t="s">
        <v>1216</v>
      </c>
      <c r="D14" s="1" t="s">
        <v>1219</v>
      </c>
    </row>
    <row r="15">
      <c r="B15" s="6" t="s">
        <v>1220</v>
      </c>
      <c r="D15" s="1" t="s">
        <v>1221</v>
      </c>
    </row>
    <row r="16">
      <c r="B16" s="6" t="s">
        <v>1222</v>
      </c>
      <c r="D16" s="1" t="s">
        <v>1223</v>
      </c>
    </row>
    <row r="17">
      <c r="B17" s="6" t="s">
        <v>1224</v>
      </c>
      <c r="C17" s="6" t="s">
        <v>1225</v>
      </c>
      <c r="D17" s="1" t="s">
        <v>1226</v>
      </c>
    </row>
    <row r="18">
      <c r="B18" s="6" t="s">
        <v>1227</v>
      </c>
      <c r="C18" s="6" t="s">
        <v>1228</v>
      </c>
      <c r="D18" s="1" t="s">
        <v>1229</v>
      </c>
    </row>
    <row r="19">
      <c r="B19" s="6" t="s">
        <v>1230</v>
      </c>
      <c r="D19" s="1" t="s">
        <v>1231</v>
      </c>
    </row>
    <row r="20">
      <c r="A20" s="101" t="s">
        <v>1232</v>
      </c>
      <c r="B20" s="103"/>
      <c r="C20" s="103"/>
      <c r="D20" s="104"/>
      <c r="E20" s="103"/>
      <c r="F20" s="103"/>
      <c r="G20" s="103"/>
      <c r="H20" s="103"/>
      <c r="I20" s="103"/>
      <c r="J20" s="103"/>
      <c r="K20" s="103"/>
      <c r="L20" s="103"/>
      <c r="M20" s="103"/>
      <c r="N20" s="103"/>
      <c r="O20" s="103"/>
      <c r="P20" s="103"/>
      <c r="Q20" s="103"/>
      <c r="R20" s="103"/>
      <c r="S20" s="103"/>
      <c r="T20" s="103"/>
      <c r="U20" s="103"/>
      <c r="V20" s="103"/>
      <c r="W20" s="103"/>
      <c r="X20" s="103"/>
      <c r="Y20" s="103"/>
      <c r="Z20" s="103"/>
      <c r="AA20" s="103"/>
    </row>
    <row r="21">
      <c r="B21" s="6" t="s">
        <v>1233</v>
      </c>
      <c r="C21" s="6" t="s">
        <v>1194</v>
      </c>
      <c r="D21" s="1" t="s">
        <v>1195</v>
      </c>
    </row>
    <row r="22">
      <c r="B22" s="6" t="s">
        <v>1234</v>
      </c>
      <c r="C22" s="6" t="s">
        <v>1197</v>
      </c>
      <c r="D22" s="1" t="s">
        <v>1235</v>
      </c>
    </row>
    <row r="23">
      <c r="B23" s="6" t="s">
        <v>1236</v>
      </c>
      <c r="C23" s="6" t="s">
        <v>1237</v>
      </c>
      <c r="D23" s="1" t="s">
        <v>1238</v>
      </c>
    </row>
    <row r="24">
      <c r="B24" s="6" t="s">
        <v>1239</v>
      </c>
      <c r="C24" s="6" t="s">
        <v>1240</v>
      </c>
      <c r="D24" s="1" t="s">
        <v>1241</v>
      </c>
    </row>
    <row r="25">
      <c r="B25" s="6" t="s">
        <v>1242</v>
      </c>
      <c r="C25" s="6" t="s">
        <v>1210</v>
      </c>
      <c r="D25" s="1" t="s">
        <v>1211</v>
      </c>
    </row>
    <row r="26">
      <c r="B26" s="6" t="s">
        <v>1243</v>
      </c>
      <c r="C26" s="6" t="s">
        <v>1213</v>
      </c>
      <c r="D26" s="1" t="s">
        <v>1214</v>
      </c>
    </row>
    <row r="27">
      <c r="B27" s="6" t="s">
        <v>1244</v>
      </c>
      <c r="C27" s="6" t="s">
        <v>1216</v>
      </c>
      <c r="D27" s="1" t="s">
        <v>1217</v>
      </c>
    </row>
    <row r="28">
      <c r="B28" s="6" t="s">
        <v>1245</v>
      </c>
      <c r="C28" s="6" t="s">
        <v>1216</v>
      </c>
      <c r="D28" s="1" t="s">
        <v>1219</v>
      </c>
    </row>
    <row r="29">
      <c r="B29" s="6" t="s">
        <v>1246</v>
      </c>
      <c r="C29" s="6" t="s">
        <v>1228</v>
      </c>
      <c r="D29" s="1" t="s">
        <v>1229</v>
      </c>
    </row>
    <row r="30">
      <c r="B30" s="6" t="s">
        <v>1247</v>
      </c>
      <c r="D30" s="1" t="s">
        <v>1231</v>
      </c>
    </row>
    <row r="31">
      <c r="A31" s="101" t="s">
        <v>1248</v>
      </c>
      <c r="B31" s="103"/>
      <c r="C31" s="103"/>
      <c r="D31" s="104"/>
      <c r="E31" s="103"/>
      <c r="F31" s="103"/>
      <c r="G31" s="103"/>
      <c r="H31" s="103"/>
      <c r="I31" s="103"/>
      <c r="J31" s="103"/>
      <c r="K31" s="103"/>
      <c r="L31" s="103"/>
      <c r="M31" s="103"/>
      <c r="N31" s="103"/>
      <c r="O31" s="103"/>
      <c r="P31" s="103"/>
      <c r="Q31" s="103"/>
      <c r="R31" s="103"/>
      <c r="S31" s="103"/>
      <c r="T31" s="103"/>
      <c r="U31" s="103"/>
      <c r="V31" s="103"/>
      <c r="W31" s="103"/>
      <c r="X31" s="103"/>
      <c r="Y31" s="103"/>
      <c r="Z31" s="103"/>
      <c r="AA31" s="103"/>
    </row>
    <row r="32">
      <c r="B32" s="6" t="s">
        <v>1249</v>
      </c>
      <c r="D32" s="1" t="s">
        <v>1250</v>
      </c>
    </row>
    <row r="33">
      <c r="B33" s="6" t="s">
        <v>1251</v>
      </c>
      <c r="D33" s="1" t="s">
        <v>1252</v>
      </c>
    </row>
    <row r="34">
      <c r="A34" s="101" t="s">
        <v>1253</v>
      </c>
      <c r="B34" s="103"/>
      <c r="C34" s="103"/>
      <c r="D34" s="104"/>
      <c r="E34" s="103"/>
      <c r="F34" s="103"/>
      <c r="G34" s="103"/>
      <c r="H34" s="103"/>
      <c r="I34" s="103"/>
      <c r="J34" s="103"/>
      <c r="K34" s="103"/>
      <c r="L34" s="103"/>
      <c r="M34" s="103"/>
      <c r="N34" s="103"/>
      <c r="O34" s="103"/>
      <c r="P34" s="103"/>
      <c r="Q34" s="103"/>
      <c r="R34" s="103"/>
      <c r="S34" s="103"/>
      <c r="T34" s="103"/>
      <c r="U34" s="103"/>
      <c r="V34" s="103"/>
      <c r="W34" s="103"/>
      <c r="X34" s="103"/>
      <c r="Y34" s="103"/>
      <c r="Z34" s="103"/>
      <c r="AA34" s="103"/>
    </row>
    <row r="35">
      <c r="B35" s="6" t="s">
        <v>1254</v>
      </c>
      <c r="D35" s="1" t="s">
        <v>1255</v>
      </c>
    </row>
    <row r="36">
      <c r="B36" s="6" t="s">
        <v>1256</v>
      </c>
      <c r="D36" s="1" t="s">
        <v>1257</v>
      </c>
    </row>
    <row r="37">
      <c r="B37" s="6" t="s">
        <v>1258</v>
      </c>
      <c r="D37" s="1" t="s">
        <v>1259</v>
      </c>
    </row>
    <row r="38">
      <c r="B38" s="6" t="s">
        <v>1260</v>
      </c>
      <c r="D38" s="1" t="s">
        <v>1261</v>
      </c>
    </row>
    <row r="39">
      <c r="B39" s="6" t="s">
        <v>1262</v>
      </c>
      <c r="D39" s="1" t="s">
        <v>1263</v>
      </c>
    </row>
    <row r="40">
      <c r="B40" s="6" t="s">
        <v>1264</v>
      </c>
      <c r="D40" s="1" t="s">
        <v>1265</v>
      </c>
    </row>
    <row r="41">
      <c r="B41" s="6" t="s">
        <v>1266</v>
      </c>
      <c r="D41" s="1" t="s">
        <v>1267</v>
      </c>
    </row>
    <row r="42">
      <c r="A42" s="101" t="s">
        <v>1268</v>
      </c>
      <c r="B42" s="103"/>
      <c r="C42" s="103"/>
      <c r="D42" s="104"/>
      <c r="E42" s="103"/>
      <c r="F42" s="103"/>
      <c r="G42" s="103"/>
      <c r="H42" s="103"/>
      <c r="I42" s="103"/>
      <c r="J42" s="103"/>
      <c r="K42" s="103"/>
      <c r="L42" s="103"/>
      <c r="M42" s="103"/>
      <c r="N42" s="103"/>
      <c r="O42" s="103"/>
      <c r="P42" s="103"/>
      <c r="Q42" s="103"/>
      <c r="R42" s="103"/>
      <c r="S42" s="103"/>
      <c r="T42" s="103"/>
      <c r="U42" s="103"/>
      <c r="V42" s="103"/>
      <c r="W42" s="103"/>
      <c r="X42" s="103"/>
      <c r="Y42" s="103"/>
      <c r="Z42" s="103"/>
      <c r="AA42" s="103"/>
    </row>
    <row r="43">
      <c r="B43" s="6" t="s">
        <v>1269</v>
      </c>
      <c r="C43" s="6" t="s">
        <v>1270</v>
      </c>
      <c r="D43" s="1" t="s">
        <v>1271</v>
      </c>
    </row>
    <row r="44">
      <c r="B44" s="6" t="s">
        <v>1272</v>
      </c>
      <c r="C44" s="6" t="s">
        <v>1273</v>
      </c>
      <c r="D44" s="1" t="s">
        <v>1274</v>
      </c>
    </row>
    <row r="45">
      <c r="B45" s="6" t="s">
        <v>1275</v>
      </c>
      <c r="C45" s="6" t="s">
        <v>1276</v>
      </c>
      <c r="D45" s="1" t="s">
        <v>1277</v>
      </c>
    </row>
    <row r="46">
      <c r="B46" s="6" t="s">
        <v>1278</v>
      </c>
      <c r="C46" s="6" t="s">
        <v>1273</v>
      </c>
      <c r="D46" s="1" t="s">
        <v>1279</v>
      </c>
    </row>
    <row r="47">
      <c r="B47" s="6" t="s">
        <v>1280</v>
      </c>
      <c r="C47" s="6" t="s">
        <v>1281</v>
      </c>
      <c r="D47" s="1" t="s">
        <v>1282</v>
      </c>
    </row>
    <row r="48">
      <c r="B48" s="6" t="s">
        <v>1283</v>
      </c>
      <c r="D48" s="1" t="s">
        <v>1284</v>
      </c>
    </row>
    <row r="49">
      <c r="B49" s="6" t="s">
        <v>1285</v>
      </c>
      <c r="C49" s="6" t="s">
        <v>1286</v>
      </c>
      <c r="D49" s="1" t="s">
        <v>1287</v>
      </c>
    </row>
    <row r="50">
      <c r="B50" s="6" t="s">
        <v>1288</v>
      </c>
      <c r="C50" s="6" t="s">
        <v>1289</v>
      </c>
      <c r="D50" s="1" t="s">
        <v>1290</v>
      </c>
    </row>
    <row r="51">
      <c r="B51" s="6" t="s">
        <v>1291</v>
      </c>
      <c r="D51" s="1" t="s">
        <v>1292</v>
      </c>
    </row>
    <row r="52">
      <c r="B52" s="6" t="s">
        <v>1293</v>
      </c>
      <c r="D52" s="1" t="s">
        <v>1294</v>
      </c>
    </row>
    <row r="53">
      <c r="B53" s="6" t="s">
        <v>1295</v>
      </c>
      <c r="C53" s="6" t="s">
        <v>1296</v>
      </c>
      <c r="D53" s="1" t="s">
        <v>1297</v>
      </c>
    </row>
    <row r="54">
      <c r="B54" s="6" t="s">
        <v>1298</v>
      </c>
      <c r="D54" s="1" t="s">
        <v>1299</v>
      </c>
    </row>
    <row r="55">
      <c r="B55" s="6" t="s">
        <v>1300</v>
      </c>
      <c r="D55" s="1" t="s">
        <v>1301</v>
      </c>
    </row>
    <row r="56">
      <c r="B56" s="6" t="s">
        <v>1302</v>
      </c>
      <c r="D56" s="1" t="s">
        <v>1303</v>
      </c>
    </row>
    <row r="57">
      <c r="B57" s="6" t="s">
        <v>1304</v>
      </c>
      <c r="D57" s="1" t="s">
        <v>1305</v>
      </c>
    </row>
    <row r="58">
      <c r="B58" s="6" t="s">
        <v>1306</v>
      </c>
      <c r="D58" s="1" t="s">
        <v>1307</v>
      </c>
    </row>
    <row r="59">
      <c r="B59" s="6" t="s">
        <v>1308</v>
      </c>
      <c r="D59" s="1" t="s">
        <v>1309</v>
      </c>
    </row>
    <row r="60">
      <c r="B60" s="6" t="s">
        <v>1310</v>
      </c>
      <c r="D60" s="1" t="s">
        <v>1311</v>
      </c>
    </row>
    <row r="61">
      <c r="B61" s="6" t="s">
        <v>1312</v>
      </c>
      <c r="D61" s="1" t="s">
        <v>1313</v>
      </c>
    </row>
    <row r="62">
      <c r="B62" s="6" t="s">
        <v>1314</v>
      </c>
      <c r="C62" s="6" t="s">
        <v>1315</v>
      </c>
      <c r="D62" s="1" t="s">
        <v>1316</v>
      </c>
    </row>
    <row r="63">
      <c r="B63" s="6" t="s">
        <v>1317</v>
      </c>
      <c r="D63" s="1" t="s">
        <v>1318</v>
      </c>
    </row>
    <row r="64">
      <c r="B64" s="6" t="s">
        <v>1319</v>
      </c>
      <c r="D64" s="1" t="s">
        <v>1320</v>
      </c>
    </row>
    <row r="65">
      <c r="B65" s="6" t="s">
        <v>1321</v>
      </c>
      <c r="D65" s="1" t="s">
        <v>1322</v>
      </c>
    </row>
    <row r="66">
      <c r="B66" s="6" t="s">
        <v>1323</v>
      </c>
      <c r="D66" s="1" t="s">
        <v>1324</v>
      </c>
    </row>
    <row r="67">
      <c r="B67" s="6" t="s">
        <v>1325</v>
      </c>
      <c r="D67" s="1" t="s">
        <v>1326</v>
      </c>
    </row>
    <row r="68">
      <c r="B68" s="6" t="s">
        <v>1327</v>
      </c>
      <c r="D68" s="1" t="s">
        <v>1328</v>
      </c>
    </row>
    <row r="69">
      <c r="B69" s="6" t="s">
        <v>1329</v>
      </c>
      <c r="D69" s="1" t="s">
        <v>1330</v>
      </c>
    </row>
    <row r="70">
      <c r="B70" s="6" t="s">
        <v>1331</v>
      </c>
      <c r="C70" s="6" t="s">
        <v>1332</v>
      </c>
      <c r="D70" s="1" t="s">
        <v>1333</v>
      </c>
    </row>
    <row r="71">
      <c r="B71" s="6" t="s">
        <v>1334</v>
      </c>
      <c r="C71" s="6" t="s">
        <v>1335</v>
      </c>
      <c r="D71" s="1" t="s">
        <v>1336</v>
      </c>
    </row>
    <row r="72">
      <c r="B72" s="6" t="s">
        <v>1337</v>
      </c>
      <c r="D72" s="1" t="s">
        <v>1338</v>
      </c>
    </row>
    <row r="73">
      <c r="B73" s="6" t="s">
        <v>1339</v>
      </c>
      <c r="C73" s="6" t="s">
        <v>1340</v>
      </c>
      <c r="D73" s="1" t="s">
        <v>1341</v>
      </c>
    </row>
    <row r="74">
      <c r="B74" s="6" t="s">
        <v>1342</v>
      </c>
      <c r="D74" s="1" t="s">
        <v>1343</v>
      </c>
    </row>
    <row r="75">
      <c r="B75" s="6" t="s">
        <v>1344</v>
      </c>
      <c r="C75" s="6" t="s">
        <v>1345</v>
      </c>
      <c r="D75" s="1" t="s">
        <v>1346</v>
      </c>
    </row>
    <row r="76">
      <c r="B76" s="6" t="s">
        <v>1347</v>
      </c>
      <c r="C76" s="6" t="s">
        <v>1348</v>
      </c>
      <c r="D76" s="1" t="s">
        <v>1349</v>
      </c>
    </row>
    <row r="77">
      <c r="B77" s="6" t="s">
        <v>1350</v>
      </c>
      <c r="C77" s="6" t="s">
        <v>1351</v>
      </c>
      <c r="D77" s="1" t="s">
        <v>1352</v>
      </c>
    </row>
    <row r="78">
      <c r="A78" s="101" t="s">
        <v>1353</v>
      </c>
      <c r="B78" s="103"/>
      <c r="C78" s="103"/>
      <c r="D78" s="104"/>
      <c r="E78" s="103"/>
      <c r="F78" s="103"/>
      <c r="G78" s="103"/>
      <c r="H78" s="103"/>
      <c r="I78" s="103"/>
      <c r="J78" s="103"/>
      <c r="K78" s="103"/>
      <c r="L78" s="103"/>
      <c r="M78" s="103"/>
      <c r="N78" s="103"/>
      <c r="O78" s="103"/>
      <c r="P78" s="103"/>
      <c r="Q78" s="103"/>
      <c r="R78" s="103"/>
      <c r="S78" s="103"/>
      <c r="T78" s="103"/>
      <c r="U78" s="103"/>
      <c r="V78" s="103"/>
      <c r="W78" s="103"/>
      <c r="X78" s="103"/>
      <c r="Y78" s="103"/>
      <c r="Z78" s="103"/>
      <c r="AA78" s="103"/>
    </row>
    <row r="79">
      <c r="B79" s="6" t="s">
        <v>1354</v>
      </c>
      <c r="C79" s="6" t="s">
        <v>1270</v>
      </c>
      <c r="D79" s="1" t="s">
        <v>1271</v>
      </c>
    </row>
    <row r="80">
      <c r="B80" s="6" t="s">
        <v>1355</v>
      </c>
      <c r="C80" s="6" t="s">
        <v>1273</v>
      </c>
      <c r="D80" s="1" t="s">
        <v>1274</v>
      </c>
    </row>
    <row r="81">
      <c r="B81" s="6" t="s">
        <v>1356</v>
      </c>
      <c r="C81" s="6" t="s">
        <v>1276</v>
      </c>
      <c r="D81" s="1" t="s">
        <v>1277</v>
      </c>
    </row>
    <row r="82">
      <c r="B82" s="6" t="s">
        <v>1357</v>
      </c>
      <c r="C82" s="6" t="s">
        <v>1273</v>
      </c>
      <c r="D82" s="1" t="s">
        <v>1279</v>
      </c>
    </row>
    <row r="83">
      <c r="B83" s="6" t="s">
        <v>1358</v>
      </c>
      <c r="C83" s="6" t="s">
        <v>1281</v>
      </c>
      <c r="D83" s="1" t="s">
        <v>1359</v>
      </c>
    </row>
    <row r="84">
      <c r="B84" s="6" t="s">
        <v>1360</v>
      </c>
      <c r="D84" s="1" t="s">
        <v>1284</v>
      </c>
    </row>
    <row r="85">
      <c r="B85" s="6" t="s">
        <v>1361</v>
      </c>
      <c r="D85" s="1" t="s">
        <v>1362</v>
      </c>
    </row>
    <row r="86">
      <c r="B86" s="6" t="s">
        <v>1363</v>
      </c>
      <c r="D86" s="1" t="s">
        <v>1364</v>
      </c>
    </row>
    <row r="87">
      <c r="B87" s="6" t="s">
        <v>1365</v>
      </c>
      <c r="D87" s="1" t="s">
        <v>1366</v>
      </c>
    </row>
    <row r="88">
      <c r="B88" s="6" t="s">
        <v>1367</v>
      </c>
      <c r="D88" s="1" t="s">
        <v>1368</v>
      </c>
    </row>
    <row r="89">
      <c r="B89" s="6" t="s">
        <v>1369</v>
      </c>
      <c r="C89" s="6" t="s">
        <v>1296</v>
      </c>
      <c r="D89" s="1" t="s">
        <v>1370</v>
      </c>
    </row>
    <row r="90">
      <c r="B90" s="6" t="s">
        <v>1371</v>
      </c>
      <c r="D90" s="1" t="s">
        <v>1372</v>
      </c>
    </row>
    <row r="91">
      <c r="B91" s="6" t="s">
        <v>1373</v>
      </c>
      <c r="D91" s="1" t="s">
        <v>1374</v>
      </c>
    </row>
    <row r="92">
      <c r="B92" s="6" t="s">
        <v>1375</v>
      </c>
      <c r="D92" s="1" t="s">
        <v>1376</v>
      </c>
    </row>
    <row r="93">
      <c r="B93" s="6" t="s">
        <v>1377</v>
      </c>
      <c r="D93" s="1" t="s">
        <v>1378</v>
      </c>
    </row>
    <row r="94">
      <c r="B94" s="6" t="s">
        <v>1379</v>
      </c>
      <c r="C94" s="6" t="s">
        <v>1315</v>
      </c>
      <c r="D94" s="1" t="s">
        <v>1380</v>
      </c>
    </row>
    <row r="95">
      <c r="B95" s="6" t="s">
        <v>1381</v>
      </c>
      <c r="D95" s="1" t="s">
        <v>1318</v>
      </c>
    </row>
    <row r="96">
      <c r="B96" s="6" t="s">
        <v>1382</v>
      </c>
      <c r="D96" s="1" t="s">
        <v>1383</v>
      </c>
    </row>
    <row r="97">
      <c r="A97" s="101" t="s">
        <v>1384</v>
      </c>
      <c r="B97" s="103"/>
      <c r="C97" s="103"/>
      <c r="D97" s="104"/>
      <c r="E97" s="103"/>
      <c r="F97" s="103"/>
      <c r="G97" s="103"/>
      <c r="H97" s="103"/>
      <c r="I97" s="103"/>
      <c r="J97" s="103"/>
      <c r="K97" s="103"/>
      <c r="L97" s="103"/>
      <c r="M97" s="103"/>
      <c r="N97" s="103"/>
      <c r="O97" s="103"/>
      <c r="P97" s="103"/>
      <c r="Q97" s="103"/>
      <c r="R97" s="103"/>
      <c r="S97" s="103"/>
      <c r="T97" s="103"/>
      <c r="U97" s="103"/>
      <c r="V97" s="103"/>
      <c r="W97" s="103"/>
      <c r="X97" s="103"/>
      <c r="Y97" s="103"/>
      <c r="Z97" s="103"/>
      <c r="AA97" s="103"/>
    </row>
    <row r="98">
      <c r="B98" s="6" t="s">
        <v>1385</v>
      </c>
      <c r="D98" s="1" t="s">
        <v>1386</v>
      </c>
    </row>
    <row r="99">
      <c r="B99" s="6" t="s">
        <v>1387</v>
      </c>
      <c r="D99" s="1" t="s">
        <v>1388</v>
      </c>
    </row>
    <row r="100">
      <c r="B100" s="6" t="s">
        <v>1389</v>
      </c>
      <c r="D100" s="1" t="s">
        <v>1390</v>
      </c>
    </row>
    <row r="101">
      <c r="B101" s="6" t="s">
        <v>1391</v>
      </c>
      <c r="D101" s="1" t="s">
        <v>1392</v>
      </c>
    </row>
    <row r="102">
      <c r="B102" s="6" t="s">
        <v>1393</v>
      </c>
      <c r="D102" s="1" t="s">
        <v>1394</v>
      </c>
    </row>
    <row r="103">
      <c r="B103" s="6" t="s">
        <v>1395</v>
      </c>
      <c r="D103" s="1" t="s">
        <v>1396</v>
      </c>
    </row>
    <row r="104">
      <c r="B104" s="6" t="s">
        <v>1397</v>
      </c>
      <c r="D104" s="1" t="s">
        <v>1398</v>
      </c>
    </row>
    <row r="105">
      <c r="B105" s="6" t="s">
        <v>1399</v>
      </c>
      <c r="D105" s="1" t="s">
        <v>1400</v>
      </c>
    </row>
    <row r="106">
      <c r="B106" s="6" t="s">
        <v>1401</v>
      </c>
      <c r="D106" s="1" t="s">
        <v>1402</v>
      </c>
    </row>
    <row r="107">
      <c r="B107" s="6" t="s">
        <v>1403</v>
      </c>
      <c r="D107" s="1" t="s">
        <v>1404</v>
      </c>
    </row>
    <row r="108">
      <c r="B108" s="6" t="s">
        <v>1405</v>
      </c>
      <c r="D108" s="1" t="s">
        <v>1406</v>
      </c>
    </row>
    <row r="109">
      <c r="B109" s="6" t="s">
        <v>1407</v>
      </c>
      <c r="D109" s="1" t="s">
        <v>1408</v>
      </c>
    </row>
    <row r="110">
      <c r="B110" s="6" t="s">
        <v>1409</v>
      </c>
      <c r="D110" s="1" t="s">
        <v>1410</v>
      </c>
    </row>
    <row r="111">
      <c r="B111" s="6" t="s">
        <v>1411</v>
      </c>
      <c r="D111" s="1" t="s">
        <v>1412</v>
      </c>
    </row>
    <row r="112">
      <c r="B112" s="6" t="s">
        <v>1413</v>
      </c>
      <c r="D112" s="1" t="s">
        <v>1414</v>
      </c>
    </row>
    <row r="113">
      <c r="B113" s="6" t="s">
        <v>1415</v>
      </c>
      <c r="D113" s="1" t="s">
        <v>1416</v>
      </c>
    </row>
    <row r="114">
      <c r="B114" s="6" t="s">
        <v>1417</v>
      </c>
      <c r="D114" s="1" t="s">
        <v>1418</v>
      </c>
    </row>
    <row r="115">
      <c r="B115" s="6" t="s">
        <v>1419</v>
      </c>
      <c r="D115" s="1" t="s">
        <v>1420</v>
      </c>
    </row>
    <row r="116">
      <c r="A116" s="101" t="s">
        <v>1421</v>
      </c>
      <c r="B116" s="103"/>
      <c r="C116" s="103"/>
      <c r="D116" s="104"/>
      <c r="E116" s="103"/>
      <c r="F116" s="103"/>
      <c r="G116" s="103"/>
      <c r="H116" s="103"/>
      <c r="I116" s="103"/>
      <c r="J116" s="103"/>
      <c r="K116" s="103"/>
      <c r="L116" s="103"/>
      <c r="M116" s="103"/>
      <c r="N116" s="103"/>
      <c r="O116" s="103"/>
      <c r="P116" s="103"/>
      <c r="Q116" s="103"/>
      <c r="R116" s="103"/>
      <c r="S116" s="103"/>
      <c r="T116" s="103"/>
      <c r="U116" s="103"/>
      <c r="V116" s="103"/>
      <c r="W116" s="103"/>
      <c r="X116" s="103"/>
      <c r="Y116" s="103"/>
      <c r="Z116" s="103"/>
      <c r="AA116" s="103"/>
    </row>
    <row r="117">
      <c r="B117" s="6" t="s">
        <v>1422</v>
      </c>
      <c r="D117" s="1" t="s">
        <v>1423</v>
      </c>
    </row>
    <row r="118">
      <c r="B118" s="6" t="s">
        <v>1424</v>
      </c>
      <c r="C118" s="6" t="s">
        <v>1425</v>
      </c>
      <c r="D118" s="1" t="s">
        <v>1426</v>
      </c>
    </row>
    <row r="119">
      <c r="B119" s="6" t="s">
        <v>1427</v>
      </c>
      <c r="D119" s="1" t="s">
        <v>1428</v>
      </c>
    </row>
    <row r="120">
      <c r="B120" s="6" t="s">
        <v>1429</v>
      </c>
      <c r="C120" s="6" t="s">
        <v>1430</v>
      </c>
      <c r="D120" s="1" t="s">
        <v>1431</v>
      </c>
    </row>
    <row r="121">
      <c r="B121" s="6" t="s">
        <v>1432</v>
      </c>
      <c r="C121" s="6" t="s">
        <v>1425</v>
      </c>
      <c r="D121" s="1" t="s">
        <v>1433</v>
      </c>
    </row>
    <row r="122">
      <c r="B122" s="6" t="s">
        <v>1434</v>
      </c>
      <c r="C122" s="6" t="s">
        <v>1435</v>
      </c>
      <c r="D122" s="1" t="s">
        <v>1436</v>
      </c>
    </row>
    <row r="123">
      <c r="B123" s="6" t="s">
        <v>1437</v>
      </c>
      <c r="D123" s="1" t="s">
        <v>1438</v>
      </c>
    </row>
    <row r="124">
      <c r="B124" s="6" t="s">
        <v>1439</v>
      </c>
      <c r="D124" s="1" t="s">
        <v>1440</v>
      </c>
    </row>
    <row r="125">
      <c r="B125" s="6" t="s">
        <v>1441</v>
      </c>
      <c r="D125" s="1" t="s">
        <v>1442</v>
      </c>
    </row>
    <row r="126">
      <c r="B126" s="6" t="s">
        <v>1443</v>
      </c>
      <c r="C126" s="6" t="s">
        <v>1425</v>
      </c>
      <c r="D126" s="1" t="s">
        <v>1444</v>
      </c>
    </row>
    <row r="127">
      <c r="B127" s="6" t="s">
        <v>1445</v>
      </c>
      <c r="C127" s="6" t="s">
        <v>1446</v>
      </c>
      <c r="D127" s="1" t="s">
        <v>1447</v>
      </c>
    </row>
    <row r="128">
      <c r="B128" s="6" t="s">
        <v>1448</v>
      </c>
      <c r="C128" s="6" t="s">
        <v>1446</v>
      </c>
      <c r="D128" s="1" t="s">
        <v>1449</v>
      </c>
    </row>
    <row r="129">
      <c r="B129" s="6" t="s">
        <v>1450</v>
      </c>
      <c r="D129" s="1" t="s">
        <v>1451</v>
      </c>
    </row>
    <row r="130">
      <c r="B130" s="6" t="s">
        <v>1452</v>
      </c>
      <c r="C130" s="6" t="s">
        <v>1453</v>
      </c>
      <c r="D130" s="1" t="s">
        <v>1454</v>
      </c>
    </row>
    <row r="131">
      <c r="B131" s="6" t="s">
        <v>1455</v>
      </c>
      <c r="D131" s="1" t="s">
        <v>1456</v>
      </c>
    </row>
    <row r="132">
      <c r="D132" s="2"/>
    </row>
    <row r="133">
      <c r="D133" s="2"/>
    </row>
    <row r="134">
      <c r="D134" s="2"/>
    </row>
    <row r="135">
      <c r="D135" s="2"/>
    </row>
    <row r="136">
      <c r="D136" s="2"/>
    </row>
    <row r="137">
      <c r="D137" s="2"/>
    </row>
    <row r="138">
      <c r="D138" s="2"/>
    </row>
    <row r="139">
      <c r="D139" s="2"/>
    </row>
    <row r="140">
      <c r="D140" s="2"/>
    </row>
    <row r="141">
      <c r="D141" s="2"/>
    </row>
    <row r="142">
      <c r="D142" s="2"/>
    </row>
    <row r="143">
      <c r="D143" s="2"/>
    </row>
    <row r="144">
      <c r="D144" s="2"/>
    </row>
    <row r="145">
      <c r="D145" s="2"/>
    </row>
    <row r="146">
      <c r="D146" s="2"/>
    </row>
    <row r="147">
      <c r="D147" s="2"/>
    </row>
    <row r="148">
      <c r="D148" s="2"/>
    </row>
    <row r="149">
      <c r="D149" s="2"/>
    </row>
    <row r="150">
      <c r="D150" s="2"/>
    </row>
    <row r="151">
      <c r="D151" s="2"/>
    </row>
    <row r="152">
      <c r="D152" s="2"/>
    </row>
    <row r="153">
      <c r="D153" s="2"/>
    </row>
    <row r="154">
      <c r="D154" s="2"/>
    </row>
    <row r="155">
      <c r="D155" s="2"/>
    </row>
    <row r="156">
      <c r="D156" s="2"/>
    </row>
    <row r="157">
      <c r="D157" s="2"/>
    </row>
    <row r="158">
      <c r="D158" s="2"/>
    </row>
    <row r="159">
      <c r="D159" s="2"/>
    </row>
    <row r="160">
      <c r="D160" s="2"/>
    </row>
    <row r="161">
      <c r="D161" s="2"/>
    </row>
    <row r="162">
      <c r="D162" s="2"/>
    </row>
    <row r="163">
      <c r="D163" s="2"/>
    </row>
    <row r="164">
      <c r="D164" s="2"/>
    </row>
    <row r="165">
      <c r="D165" s="2"/>
    </row>
    <row r="166">
      <c r="D166" s="2"/>
    </row>
    <row r="167">
      <c r="D167" s="2"/>
    </row>
    <row r="168">
      <c r="D168" s="2"/>
    </row>
    <row r="169">
      <c r="D169" s="2"/>
    </row>
    <row r="170">
      <c r="D170" s="2"/>
    </row>
    <row r="171">
      <c r="D171" s="2"/>
    </row>
    <row r="172">
      <c r="D172" s="2"/>
    </row>
    <row r="173">
      <c r="D173" s="2"/>
    </row>
    <row r="174">
      <c r="D174" s="2"/>
    </row>
    <row r="175">
      <c r="D175" s="2"/>
    </row>
    <row r="176">
      <c r="D176" s="2"/>
    </row>
    <row r="177">
      <c r="D177" s="2"/>
    </row>
    <row r="178">
      <c r="D178" s="2"/>
    </row>
    <row r="179">
      <c r="D179" s="2"/>
    </row>
    <row r="180">
      <c r="D180" s="2"/>
    </row>
    <row r="181">
      <c r="D181" s="2"/>
    </row>
    <row r="182">
      <c r="D182" s="2"/>
    </row>
    <row r="183">
      <c r="D183" s="2"/>
    </row>
    <row r="184">
      <c r="D184" s="2"/>
    </row>
    <row r="185">
      <c r="D185" s="2"/>
    </row>
    <row r="186">
      <c r="D186" s="2"/>
    </row>
    <row r="187">
      <c r="D187" s="2"/>
    </row>
    <row r="188">
      <c r="D188" s="2"/>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row r="919">
      <c r="D919" s="2"/>
    </row>
    <row r="920">
      <c r="D920" s="2"/>
    </row>
    <row r="921">
      <c r="D921" s="2"/>
    </row>
    <row r="922">
      <c r="D922" s="2"/>
    </row>
    <row r="923">
      <c r="D923" s="2"/>
    </row>
    <row r="924">
      <c r="D924" s="2"/>
    </row>
    <row r="925">
      <c r="D925" s="2"/>
    </row>
    <row r="926">
      <c r="D926" s="2"/>
    </row>
    <row r="927">
      <c r="D927" s="2"/>
    </row>
    <row r="928">
      <c r="D928" s="2"/>
    </row>
    <row r="929">
      <c r="D929" s="2"/>
    </row>
    <row r="930">
      <c r="D930" s="2"/>
    </row>
    <row r="931">
      <c r="D931" s="2"/>
    </row>
    <row r="932">
      <c r="D932" s="2"/>
    </row>
    <row r="933">
      <c r="D933" s="2"/>
    </row>
    <row r="934">
      <c r="D934" s="2"/>
    </row>
    <row r="935">
      <c r="D935" s="2"/>
    </row>
    <row r="936">
      <c r="D936" s="2"/>
    </row>
    <row r="937">
      <c r="D937" s="2"/>
    </row>
    <row r="938">
      <c r="D938" s="2"/>
    </row>
    <row r="939">
      <c r="D939" s="2"/>
    </row>
    <row r="940">
      <c r="D940" s="2"/>
    </row>
    <row r="941">
      <c r="D941" s="2"/>
    </row>
    <row r="942">
      <c r="D942" s="2"/>
    </row>
    <row r="943">
      <c r="D943" s="2"/>
    </row>
    <row r="944">
      <c r="D944" s="2"/>
    </row>
    <row r="945">
      <c r="D945" s="2"/>
    </row>
    <row r="946">
      <c r="D946" s="2"/>
    </row>
    <row r="947">
      <c r="D947" s="2"/>
    </row>
    <row r="948">
      <c r="D948" s="2"/>
    </row>
    <row r="949">
      <c r="D949" s="2"/>
    </row>
    <row r="950">
      <c r="D950" s="2"/>
    </row>
    <row r="951">
      <c r="D951" s="2"/>
    </row>
    <row r="952">
      <c r="D952" s="2"/>
    </row>
    <row r="953">
      <c r="D953" s="2"/>
    </row>
    <row r="954">
      <c r="D954" s="2"/>
    </row>
    <row r="955">
      <c r="D955" s="2"/>
    </row>
    <row r="956">
      <c r="D956" s="2"/>
    </row>
    <row r="957">
      <c r="D957" s="2"/>
    </row>
    <row r="958">
      <c r="D958" s="2"/>
    </row>
    <row r="959">
      <c r="D959" s="2"/>
    </row>
    <row r="960">
      <c r="D960" s="2"/>
    </row>
    <row r="961">
      <c r="D961" s="2"/>
    </row>
    <row r="962">
      <c r="D962" s="2"/>
    </row>
    <row r="963">
      <c r="D963" s="2"/>
    </row>
    <row r="964">
      <c r="D964" s="2"/>
    </row>
    <row r="965">
      <c r="D965" s="2"/>
    </row>
    <row r="966">
      <c r="D966" s="2"/>
    </row>
    <row r="967">
      <c r="D967" s="2"/>
    </row>
    <row r="968">
      <c r="D968" s="2"/>
    </row>
    <row r="969">
      <c r="D969" s="2"/>
    </row>
    <row r="970">
      <c r="D970" s="2"/>
    </row>
    <row r="971">
      <c r="D971" s="2"/>
    </row>
    <row r="972">
      <c r="D972" s="2"/>
    </row>
    <row r="973">
      <c r="D973" s="2"/>
    </row>
    <row r="974">
      <c r="D974" s="2"/>
    </row>
    <row r="975">
      <c r="D975" s="2"/>
    </row>
    <row r="976">
      <c r="D976" s="2"/>
    </row>
    <row r="977">
      <c r="D977" s="2"/>
    </row>
    <row r="978">
      <c r="D978" s="2"/>
    </row>
    <row r="979">
      <c r="D979" s="2"/>
    </row>
    <row r="980">
      <c r="D980" s="2"/>
    </row>
    <row r="981">
      <c r="D981" s="2"/>
    </row>
    <row r="982">
      <c r="D982" s="2"/>
    </row>
    <row r="983">
      <c r="D983" s="2"/>
    </row>
    <row r="984">
      <c r="D984" s="2"/>
    </row>
    <row r="985">
      <c r="D985" s="2"/>
    </row>
    <row r="986">
      <c r="D986" s="2"/>
    </row>
    <row r="987">
      <c r="D987" s="2"/>
    </row>
    <row r="988">
      <c r="D988" s="2"/>
    </row>
    <row r="989">
      <c r="D989" s="2"/>
    </row>
    <row r="990">
      <c r="D990" s="2"/>
    </row>
    <row r="991">
      <c r="D991" s="2"/>
    </row>
    <row r="992">
      <c r="D992" s="2"/>
    </row>
  </sheetData>
  <drawing r:id="rId1"/>
</worksheet>
</file>